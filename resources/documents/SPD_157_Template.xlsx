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Projek_Magang\SIM-PD-DEV\templates\documents\"/>
    </mc:Choice>
  </mc:AlternateContent>
  <xr:revisionPtr revIDLastSave="0" documentId="13_ncr:1_{6348F3BC-0313-4313-81C1-1BEC279D4727}" xr6:coauthVersionLast="47" xr6:coauthVersionMax="47" xr10:uidLastSave="{00000000-0000-0000-0000-000000000000}"/>
  <bookViews>
    <workbookView xWindow="28680" yWindow="-120" windowWidth="38640" windowHeight="21120" xr2:uid="{3D9A4281-3CBE-44B1-95A2-D767B1AF2A7A}"/>
  </bookViews>
  <sheets>
    <sheet name="SPPD" sheetId="4" r:id="rId1"/>
    <sheet name="Lumpsum" sheetId="2" r:id="rId2"/>
    <sheet name="Kuitansi" sheetId="1" r:id="rId3"/>
  </sheets>
  <externalReferences>
    <externalReference r:id="rId4"/>
  </externalReferences>
  <definedNames>
    <definedName name="_xlnm.Print_Area" localSheetId="0">SPPD!$A$1:$K$59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2" l="1" a="1"/>
  <c r="C15" i="2" s="1"/>
  <c r="J14" i="2"/>
  <c r="J9" i="2"/>
  <c r="J12" i="2"/>
  <c r="J10" i="2" l="1"/>
  <c r="F4" i="1" l="1"/>
  <c r="C18" i="1"/>
  <c r="C22" i="1"/>
  <c r="C24" i="1"/>
  <c r="C26" i="1"/>
  <c r="F26" i="1"/>
  <c r="F34" i="1"/>
  <c r="F35" i="1"/>
  <c r="F45" i="1"/>
  <c r="A46" i="1"/>
  <c r="F46" i="1"/>
  <c r="I28" i="2" l="1"/>
  <c r="I3" i="2"/>
  <c r="H58" i="4"/>
  <c r="A45" i="1" s="1"/>
  <c r="G48" i="2"/>
  <c r="I4" i="2"/>
  <c r="I27" i="2"/>
  <c r="G47" i="2" l="1"/>
  <c r="C15" i="1"/>
  <c r="C13" i="1" l="1"/>
  <c r="G35" i="2"/>
  <c r="B20" i="2"/>
  <c r="I20" i="2"/>
  <c r="G3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<sst xmlns="http://schemas.openxmlformats.org/spreadsheetml/2006/main" count="163" uniqueCount="115">
  <si>
    <t>Sudah terima dari</t>
  </si>
  <si>
    <t>Uang sebesar</t>
  </si>
  <si>
    <t>Terbilang</t>
  </si>
  <si>
    <t>Untuk Pembayaran</t>
  </si>
  <si>
    <t>Tanggal</t>
  </si>
  <si>
    <t>Untuk perjalanan dinas dari</t>
  </si>
  <si>
    <t xml:space="preserve">Bukti Kas No </t>
  </si>
  <si>
    <t>Beban MAK</t>
  </si>
  <si>
    <t>:</t>
  </si>
  <si>
    <t>Tahun Anggaran</t>
  </si>
  <si>
    <t>Ke</t>
  </si>
  <si>
    <t xml:space="preserve">Yang menerima, </t>
  </si>
  <si>
    <t>RINCIAN BIAYA PERJALANAN</t>
  </si>
  <si>
    <t>No.</t>
  </si>
  <si>
    <t>PERINCIAN BIAYA</t>
  </si>
  <si>
    <t xml:space="preserve">2. </t>
  </si>
  <si>
    <t>3.</t>
  </si>
  <si>
    <t>Telah dibayar sejumlah</t>
  </si>
  <si>
    <t>Telah menerima jumlah uang sebesar</t>
  </si>
  <si>
    <t>Yang Menerima,</t>
  </si>
  <si>
    <t>PERHITUNGAN SPPD RAMPUNG</t>
  </si>
  <si>
    <t>Ditetapkan sejumlah</t>
  </si>
  <si>
    <t>Yang telah dibayarkan semula</t>
  </si>
  <si>
    <t>Sisa kurang / Lebih</t>
  </si>
  <si>
    <t>1.</t>
  </si>
  <si>
    <t>a.</t>
  </si>
  <si>
    <t>b.</t>
  </si>
  <si>
    <t>Jabatan</t>
  </si>
  <si>
    <t>c.</t>
  </si>
  <si>
    <t>4.</t>
  </si>
  <si>
    <t>5.</t>
  </si>
  <si>
    <t>6.</t>
  </si>
  <si>
    <t>Tempat Berangkat</t>
  </si>
  <si>
    <t>7.</t>
  </si>
  <si>
    <t>Lamanya perjalanan dinas</t>
  </si>
  <si>
    <t>Tanggal berangkat</t>
  </si>
  <si>
    <t>8.</t>
  </si>
  <si>
    <t>Pengikut        Nama</t>
  </si>
  <si>
    <t>2.</t>
  </si>
  <si>
    <t>9.</t>
  </si>
  <si>
    <t>Pembebanan Anggaran</t>
  </si>
  <si>
    <t>Instansi</t>
  </si>
  <si>
    <t>10.</t>
  </si>
  <si>
    <t>Keterangan Lain-lain</t>
  </si>
  <si>
    <t xml:space="preserve">a. </t>
  </si>
  <si>
    <t xml:space="preserve">Lembar Ke </t>
  </si>
  <si>
    <t>Kode No</t>
  </si>
  <si>
    <t>Nomor</t>
  </si>
  <si>
    <t xml:space="preserve">Tanggal </t>
  </si>
  <si>
    <t>N I H I L</t>
  </si>
  <si>
    <t>JUMLAH</t>
  </si>
  <si>
    <t>Bendahara Pengeluaran</t>
  </si>
  <si>
    <t>Pangkat dan golongan</t>
  </si>
  <si>
    <t>Bendahara Pengeluaran,</t>
  </si>
  <si>
    <t>Berdasarkan SPD Nomor</t>
  </si>
  <si>
    <t>K U I T A N S I</t>
  </si>
  <si>
    <t>Setuju Dibayar</t>
  </si>
  <si>
    <t>C</t>
  </si>
  <si>
    <t>Pejabat Pembuat Komitmen</t>
  </si>
  <si>
    <t>a.n. Kuasa Pengguna Anggaran</t>
  </si>
  <si>
    <t>Alat angkutan yang dipergunakan</t>
  </si>
  <si>
    <t>Tempat Tujuan</t>
  </si>
  <si>
    <t>Tanggal harus kembali/tiba ditempat baru*)</t>
  </si>
  <si>
    <t>Tanggal lahir</t>
  </si>
  <si>
    <t>Keterangan</t>
  </si>
  <si>
    <t>Akun</t>
  </si>
  <si>
    <t>Maksud Perjalanan Dinas</t>
  </si>
  <si>
    <t>Tingkat menurut peraturan Perjalanan Dinas</t>
  </si>
  <si>
    <t>coret yang tidak perlu</t>
  </si>
  <si>
    <t>Direktorat Jenderal Pembinaan Pelatihan dan Produktivitas</t>
  </si>
  <si>
    <t xml:space="preserve">Dikeluarkan di </t>
  </si>
  <si>
    <t>SURAT PERJALANAN DINAS (SPD)</t>
  </si>
  <si>
    <t xml:space="preserve">      a.n. Kuasa Pengguna Anggaran</t>
  </si>
  <si>
    <t xml:space="preserve">          Pejabat Pembuat Komitmen</t>
  </si>
  <si>
    <t>Kementerian Ketenagakerjaan R.I</t>
  </si>
  <si>
    <t xml:space="preserve">                             NIP. 19620718 198502 2 001</t>
  </si>
  <si>
    <t>Lampiran SPD Nomor</t>
  </si>
  <si>
    <t>PANGKEP</t>
  </si>
  <si>
    <t>( KEMENTERIAN/ LEMBAGA )</t>
  </si>
  <si>
    <t>KEMENTERIAN KETENAGAKERJAAN RI</t>
  </si>
  <si>
    <t>KET</t>
  </si>
  <si>
    <t>TOTAL</t>
  </si>
  <si>
    <t>Nama /NIP Pegawai yang melaksanakan Perjalanan Dinas</t>
  </si>
  <si>
    <t>*)</t>
  </si>
  <si>
    <t>Terbilang:</t>
  </si>
  <si>
    <t>Lunas Dibayar, ………………….</t>
  </si>
  <si>
    <t>Pangkep, …......................</t>
  </si>
  <si>
    <t xml:space="preserve">Pejabat yang berwenang / Pejabat lain yang ditunjuk </t>
  </si>
  <si>
    <t>Pangkep</t>
  </si>
  <si>
    <t>@</t>
  </si>
  <si>
    <t>Pejabat Pembuat Komitmen BPVP Pangkep</t>
  </si>
  <si>
    <t>BPVP Pangkep</t>
  </si>
  <si>
    <t>hari</t>
  </si>
  <si>
    <t>Kaharuddin, S.Pd.</t>
  </si>
  <si>
    <t xml:space="preserve">      NIP. 19920524 202012 1 014</t>
  </si>
  <si>
    <t>Ni'matul Chasanah, A.Md.</t>
  </si>
  <si>
    <t>NIP. 19870522 202012 2 013</t>
  </si>
  <si>
    <t>Penata Muda / IIIa</t>
  </si>
  <si>
    <t>4053.PDI.002.054.B.524111</t>
  </si>
  <si>
    <t>Uang Harian</t>
  </si>
  <si>
    <t>2.23/157/LP.00.04/XI/2025</t>
  </si>
  <si>
    <t>Eka Elvira, S.S.</t>
  </si>
  <si>
    <t>NIP. 19880831 202012 2 011</t>
  </si>
  <si>
    <t>Pengantar Kerja Ahli Pratama</t>
  </si>
  <si>
    <t>Melaksanakan Koordinasi Pelatihan Project Based Learning (PBL), pada hari Senin s.d. Rabu, 10 November s.d. 12 November 2025 di UPTP BPVP Surakarta, Jl. Bhayangkara, No. 38, Panularan, Kec. Laweyan, Kota Surakarta, Jawa Tengah.</t>
  </si>
  <si>
    <t>Pesawat Udara</t>
  </si>
  <si>
    <t>Surakarta PP</t>
  </si>
  <si>
    <t>(tiga) Hari</t>
  </si>
  <si>
    <t>10 - 11 - 2025</t>
  </si>
  <si>
    <t>12 - 11 - 2025</t>
  </si>
  <si>
    <t>2.23/5089/LP.00.04/XI/2025</t>
  </si>
  <si>
    <t>07 - 11 - 2025</t>
  </si>
  <si>
    <t>Transport Bandara - Tempat Kedudukan PP</t>
  </si>
  <si>
    <t>Uang Penginapan</t>
  </si>
  <si>
    <t>Tiket Makassar - Surakarta 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</si>
</sst>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_([$Rp-421]* #,##0_);_([$Rp-421]* \(#,##0\);_([$Rp-421]* &quot;-&quot;_);_(@_)"/>
    <numFmt numFmtId="167" formatCode="_([$Rp-421]* #,##0_);_([$Rp-421]* \(#,##0\);_([$Rp-421]* &quot;-&quot;??_);_(@_)"/>
    <numFmt numFmtId="168" formatCode="_-[$Rp]* #,##0_-;\-[$Rp]* #,##0_-;_-[$Rp]* &quot;-&quot;_-;_-@_-"/>
  </numFmts>
  <fonts count="13" x14ac:knownFonts="1">
    <font>
      <sz val="11"/>
      <color theme="1"/>
      <name val="Calibri"/>
      <family val="2"/>
      <scheme val="minor"/>
    </font>
    <font>
      <sz val="12"/>
      <name val="Arial"/>
      <family val="2"/>
    </font>
    <font>
      <sz val="11"/>
      <name val="Arial"/>
      <family val="2"/>
    </font>
    <font>
      <sz val="8"/>
      <name val="Calibri"/>
      <family val="2"/>
    </font>
    <font>
      <sz val="11"/>
      <color theme="1"/>
      <name val="Calibri"/>
      <family val="2"/>
      <scheme val="minor"/>
    </font>
    <font>
      <sz val="12"/>
      <color theme="1"/>
      <name val="Arial"/>
      <family val="2"/>
    </font>
    <font>
      <sz val="11"/>
      <color theme="1"/>
      <name val="Arial"/>
      <family val="2"/>
    </font>
    <font>
      <b/>
      <sz val="12"/>
      <color theme="1"/>
      <name val="Arial"/>
      <family val="2"/>
    </font>
    <font>
      <sz val="8"/>
      <color theme="1"/>
      <name val="Arial"/>
      <family val="2"/>
    </font>
    <font>
      <b/>
      <sz val="8"/>
      <color theme="1"/>
      <name val="Arial"/>
      <family val="2"/>
    </font>
    <font>
      <b/>
      <sz val="16"/>
      <color theme="1"/>
      <name val="Arial"/>
      <family val="2"/>
    </font>
    <font>
      <sz val="12"/>
      <color rgb="FF000000"/>
      <name val="Arial"/>
      <family val="2"/>
    </font>
    <font>
      <b/>
      <u/>
      <sz val="16"/>
      <color theme="1"/>
      <name val="Arial"/>
      <family val="2"/>
    </font>
  </fonts>
  <fills count="2">
    <fill>
      <patternFill patternType="none"/>
    </fill>
    <fill>
      <patternFill patternType="gray125"/>
    </fill>
  </fills>
  <borders count="13">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s>
  <cellStyleXfs count="2">
    <xf numFmtId="0" fontId="0" fillId="0" borderId="0"/>
    <xf numFmtId="164" fontId="4" fillId="0" borderId="0" applyFont="0" applyFill="0" applyBorder="0" applyAlignment="0" applyProtection="0"/>
  </cellStyleXfs>
  <cellXfs count="123">
    <xf numFmtId="0" fontId="0" fillId="0" borderId="0" xfId="0"/>
    <xf numFmtId="0" fontId="5" fillId="0" borderId="0" xfId="0" applyFont="1"/>
    <xf numFmtId="0" fontId="5" fillId="0" borderId="1" xfId="0" applyFont="1" applyBorder="1"/>
    <xf numFmtId="0" fontId="6" fillId="0" borderId="0" xfId="0" applyFont="1"/>
    <xf numFmtId="0" fontId="5" fillId="0" borderId="2" xfId="0" applyFont="1" applyBorder="1"/>
    <xf numFmtId="165" fontId="5" fillId="0" borderId="0" xfId="0" applyNumberFormat="1" applyFont="1" applyAlignment="1">
      <alignment horizontal="right"/>
    </xf>
    <xf numFmtId="165" fontId="5" fillId="0" borderId="0" xfId="0" applyNumberFormat="1" applyFont="1" applyAlignment="1">
      <alignment vertical="justify" wrapText="1"/>
    </xf>
    <xf numFmtId="0" fontId="5" fillId="0" borderId="0" xfId="0" quotePrefix="1" applyFont="1"/>
    <xf numFmtId="0" fontId="7" fillId="0" borderId="0" xfId="0" applyFont="1" applyAlignment="1">
      <alignment horizontal="center"/>
    </xf>
    <xf numFmtId="0" fontId="5" fillId="0" borderId="0" xfId="0" applyFont="1" applyAlignment="1">
      <alignment vertical="center" wrapText="1"/>
    </xf>
    <xf numFmtId="165" fontId="5" fillId="0" borderId="0" xfId="0" applyNumberFormat="1" applyFont="1" applyAlignment="1">
      <alignment horizontal="left"/>
    </xf>
    <xf numFmtId="14" fontId="5" fillId="0" borderId="0" xfId="0" quotePrefix="1" applyNumberFormat="1" applyFont="1"/>
    <xf numFmtId="0" fontId="7" fillId="0" borderId="3" xfId="0" applyFont="1" applyBorder="1" applyAlignment="1">
      <alignment vertical="center"/>
    </xf>
    <xf numFmtId="0" fontId="5" fillId="0" borderId="4" xfId="0" applyFont="1" applyBorder="1"/>
    <xf numFmtId="0" fontId="5" fillId="0" borderId="5" xfId="0" applyFont="1" applyBorder="1"/>
    <xf numFmtId="0" fontId="5" fillId="0" borderId="6" xfId="0" applyFont="1" applyBorder="1"/>
    <xf numFmtId="0" fontId="7" fillId="0" borderId="5" xfId="0" applyFont="1" applyBorder="1" applyAlignment="1">
      <alignment horizontal="center" vertical="center"/>
    </xf>
    <xf numFmtId="166" fontId="5" fillId="0" borderId="0" xfId="0" applyNumberFormat="1" applyFont="1"/>
    <xf numFmtId="0" fontId="5" fillId="0" borderId="0" xfId="0" applyFont="1" applyAlignment="1">
      <alignment horizontal="right"/>
    </xf>
    <xf numFmtId="167" fontId="5" fillId="0" borderId="0" xfId="0" applyNumberFormat="1" applyFont="1"/>
    <xf numFmtId="167" fontId="5" fillId="0" borderId="1" xfId="0" applyNumberFormat="1" applyFont="1" applyBorder="1"/>
    <xf numFmtId="0" fontId="5" fillId="0" borderId="1" xfId="0" applyFont="1" applyBorder="1" applyAlignment="1">
      <alignment horizontal="center"/>
    </xf>
    <xf numFmtId="0" fontId="5" fillId="0" borderId="1" xfId="0" applyFont="1" applyBorder="1" applyAlignment="1">
      <alignment horizontal="left"/>
    </xf>
    <xf numFmtId="0" fontId="5" fillId="0" borderId="7" xfId="0" applyFont="1" applyBorder="1"/>
    <xf numFmtId="0" fontId="5" fillId="0" borderId="7" xfId="0" applyFont="1" applyBorder="1" applyAlignment="1">
      <alignment vertical="center" wrapText="1"/>
    </xf>
    <xf numFmtId="0" fontId="5" fillId="0" borderId="4" xfId="0" quotePrefix="1"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5" fillId="0" borderId="0" xfId="0" applyFont="1" applyAlignment="1">
      <alignment horizontal="center"/>
    </xf>
    <xf numFmtId="0" fontId="5" fillId="0" borderId="10" xfId="0" applyFont="1" applyBorder="1" applyAlignment="1">
      <alignment vertical="center" wrapText="1"/>
    </xf>
    <xf numFmtId="167" fontId="5" fillId="0" borderId="0" xfId="1" applyNumberFormat="1" applyFont="1"/>
    <xf numFmtId="167" fontId="5" fillId="0" borderId="0" xfId="0" quotePrefix="1" applyNumberFormat="1" applyFont="1"/>
    <xf numFmtId="167" fontId="5" fillId="0" borderId="7" xfId="0" applyNumberFormat="1" applyFont="1" applyBorder="1"/>
    <xf numFmtId="0" fontId="5" fillId="0" borderId="7" xfId="0" applyFont="1" applyBorder="1" applyAlignment="1">
      <alignment horizontal="center"/>
    </xf>
    <xf numFmtId="0" fontId="8" fillId="0" borderId="0" xfId="0" applyFont="1" applyAlignment="1">
      <alignment horizontal="right"/>
    </xf>
    <xf numFmtId="167" fontId="5" fillId="0" borderId="0" xfId="0" applyNumberFormat="1" applyFont="1" applyAlignment="1">
      <alignment vertical="center" wrapText="1"/>
    </xf>
    <xf numFmtId="0" fontId="5" fillId="0" borderId="0" xfId="0" applyFont="1" applyAlignment="1">
      <alignment horizontal="left"/>
    </xf>
    <xf numFmtId="0" fontId="8" fillId="0" borderId="0" xfId="0" applyFont="1"/>
    <xf numFmtId="0" fontId="5" fillId="0" borderId="8" xfId="0" quotePrefix="1" applyFont="1" applyBorder="1"/>
    <xf numFmtId="0" fontId="9" fillId="0" borderId="0" xfId="0" applyFont="1"/>
    <xf numFmtId="0" fontId="5" fillId="0" borderId="12" xfId="0" applyFont="1" applyBorder="1" applyAlignment="1">
      <alignment horizontal="center"/>
    </xf>
    <xf numFmtId="0" fontId="5"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5" fillId="0" borderId="11" xfId="0" quotePrefix="1" applyFont="1" applyBorder="1" applyAlignment="1">
      <alignment horizontal="center"/>
    </xf>
    <xf numFmtId="0" fontId="5" fillId="0" borderId="4" xfId="0" quotePrefix="1" applyFont="1" applyBorder="1" applyAlignment="1">
      <alignment horizontal="center"/>
    </xf>
    <xf numFmtId="0" fontId="5" fillId="0" borderId="4" xfId="0" applyFont="1" applyBorder="1" applyAlignment="1">
      <alignment horizontal="center"/>
    </xf>
    <xf numFmtId="0" fontId="5" fillId="0" borderId="11" xfId="0" applyFont="1" applyBorder="1" applyAlignment="1">
      <alignment horizontal="center"/>
    </xf>
    <xf numFmtId="0" fontId="5" fillId="0" borderId="8" xfId="0" applyFont="1" applyBorder="1" applyAlignment="1">
      <alignment horizontal="center"/>
    </xf>
    <xf numFmtId="0" fontId="5" fillId="0" borderId="2" xfId="0" quotePrefix="1" applyFont="1" applyBorder="1" applyAlignment="1">
      <alignment horizontal="center"/>
    </xf>
    <xf numFmtId="0" fontId="1" fillId="0" borderId="0" xfId="0" applyFont="1"/>
    <xf numFmtId="167" fontId="1" fillId="0" borderId="0" xfId="0" applyNumberFormat="1" applyFont="1"/>
    <xf numFmtId="0" fontId="1" fillId="0" borderId="0" xfId="0" applyFont="1" applyAlignment="1">
      <alignment vertical="center"/>
    </xf>
    <xf numFmtId="168" fontId="7" fillId="0" borderId="5" xfId="0" applyNumberFormat="1" applyFont="1" applyBorder="1" applyAlignment="1">
      <alignment horizontal="center" vertical="center"/>
    </xf>
    <xf numFmtId="0" fontId="1" fillId="0" borderId="5" xfId="0" applyFont="1" applyBorder="1" applyAlignment="1">
      <alignment vertical="center"/>
    </xf>
    <xf numFmtId="0" fontId="2" fillId="0" borderId="0" xfId="0" applyFont="1" applyAlignment="1">
      <alignment vertical="center"/>
    </xf>
    <xf numFmtId="168" fontId="1" fillId="0" borderId="12" xfId="1" applyNumberFormat="1" applyFont="1" applyBorder="1" applyAlignment="1">
      <alignment horizontal="center" vertical="center"/>
    </xf>
    <xf numFmtId="0" fontId="7" fillId="0" borderId="12" xfId="0" applyFont="1" applyBorder="1" applyAlignment="1">
      <alignment horizontal="center" vertical="center"/>
    </xf>
    <xf numFmtId="0" fontId="7" fillId="0" borderId="0" xfId="0" applyFont="1"/>
    <xf numFmtId="0" fontId="7" fillId="0" borderId="4" xfId="0" applyFont="1" applyBorder="1" applyAlignment="1">
      <alignment vertical="center"/>
    </xf>
    <xf numFmtId="0" fontId="7" fillId="0" borderId="11" xfId="0" applyFont="1" applyBorder="1" applyAlignment="1">
      <alignment horizontal="center" vertical="center"/>
    </xf>
    <xf numFmtId="0" fontId="7" fillId="0" borderId="7" xfId="0" applyFont="1" applyBorder="1" applyAlignment="1">
      <alignment horizontal="center" vertical="center"/>
    </xf>
    <xf numFmtId="0" fontId="7" fillId="0" borderId="10" xfId="0" applyFont="1" applyBorder="1" applyAlignment="1">
      <alignment horizontal="center" vertical="center"/>
    </xf>
    <xf numFmtId="0" fontId="1" fillId="0" borderId="0" xfId="0" quotePrefix="1" applyFont="1"/>
    <xf numFmtId="0" fontId="5" fillId="0" borderId="5" xfId="0" applyFont="1" applyBorder="1" applyAlignment="1">
      <alignment vertical="center"/>
    </xf>
    <xf numFmtId="168" fontId="5" fillId="0" borderId="5" xfId="1" applyNumberFormat="1" applyFont="1" applyFill="1" applyBorder="1" applyAlignment="1">
      <alignment vertical="center"/>
    </xf>
    <xf numFmtId="168" fontId="1" fillId="0" borderId="5" xfId="1" applyNumberFormat="1" applyFont="1" applyFill="1" applyBorder="1" applyAlignment="1">
      <alignment horizontal="center" vertical="center"/>
    </xf>
    <xf numFmtId="0" fontId="5" fillId="0" borderId="1" xfId="0" quotePrefix="1" applyFont="1" applyBorder="1"/>
    <xf numFmtId="0" fontId="7" fillId="0" borderId="0" xfId="0" quotePrefix="1" applyFont="1"/>
    <xf numFmtId="0" fontId="1" fillId="0" borderId="4" xfId="0" quotePrefix="1"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5" fillId="0" borderId="4" xfId="0" applyFont="1" applyBorder="1" applyAlignment="1">
      <alignment horizontal="left"/>
    </xf>
    <xf numFmtId="0" fontId="1" fillId="0" borderId="4" xfId="0" applyFont="1" applyBorder="1" applyAlignment="1">
      <alignment horizontal="left" vertical="center"/>
    </xf>
    <xf numFmtId="0" fontId="1" fillId="0" borderId="0" xfId="0" applyFont="1" applyAlignment="1">
      <alignment horizontal="left" vertical="center"/>
    </xf>
    <xf numFmtId="0" fontId="1" fillId="0" borderId="0" xfId="0" quotePrefix="1" applyFont="1" applyAlignment="1">
      <alignment horizontal="center" vertical="center"/>
    </xf>
    <xf numFmtId="0" fontId="5" fillId="0" borderId="0" xfId="0" applyFont="1" applyAlignment="1">
      <alignment horizontal="center"/>
    </xf>
    <xf numFmtId="0" fontId="5" fillId="0" borderId="0" xfId="0" applyFont="1"/>
    <xf numFmtId="0" fontId="12" fillId="0" borderId="0" xfId="0" applyFont="1" applyAlignment="1">
      <alignment horizont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12" xfId="0" applyFont="1" applyBorder="1" applyAlignment="1">
      <alignment horizontal="center" vertical="center"/>
    </xf>
    <xf numFmtId="166" fontId="5" fillId="0" borderId="0" xfId="0" applyNumberFormat="1" applyFont="1" applyAlignment="1">
      <alignment horizont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12" xfId="0" applyFont="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5" fillId="0" borderId="6" xfId="0" applyFont="1" applyBorder="1" applyAlignment="1">
      <alignment horizontal="left" vertical="center" wrapText="1"/>
    </xf>
    <xf numFmtId="0" fontId="5" fillId="0" borderId="12" xfId="0" applyFont="1" applyBorder="1" applyAlignment="1">
      <alignment horizontal="left" vertical="center" wrapText="1"/>
    </xf>
    <xf numFmtId="0" fontId="7" fillId="0" borderId="0" xfId="0" applyFont="1" applyAlignment="1">
      <alignment horizontal="center"/>
    </xf>
    <xf numFmtId="0" fontId="7" fillId="0" borderId="7" xfId="0" applyFont="1" applyBorder="1" applyAlignment="1">
      <alignment horizontal="center"/>
    </xf>
    <xf numFmtId="0" fontId="5" fillId="0" borderId="0" xfId="0" applyFont="1" applyAlignment="1">
      <alignment horizontal="center" wrapText="1"/>
    </xf>
    <xf numFmtId="0" fontId="10" fillId="0" borderId="0" xfId="0" applyFont="1" applyAlignment="1">
      <alignment horizontal="center"/>
    </xf>
    <xf numFmtId="0" fontId="7" fillId="0" borderId="4" xfId="0" applyFont="1" applyBorder="1" applyAlignment="1">
      <alignment horizontal="left" vertical="center" wrapText="1"/>
    </xf>
    <xf numFmtId="0" fontId="7" fillId="0" borderId="0" xfId="0" applyFont="1" applyAlignment="1">
      <alignment horizontal="left" vertical="center" wrapText="1"/>
    </xf>
    <xf numFmtId="0" fontId="7" fillId="0" borderId="5" xfId="0" applyFont="1" applyBorder="1" applyAlignment="1">
      <alignment horizontal="left" vertical="center" wrapText="1"/>
    </xf>
    <xf numFmtId="0" fontId="11" fillId="0" borderId="0" xfId="0" applyFont="1" applyAlignment="1">
      <alignment horizontal="center"/>
    </xf>
    <xf numFmtId="0" fontId="5" fillId="0" borderId="4" xfId="0" applyFont="1" applyBorder="1" applyAlignment="1">
      <alignment horizontal="justify" vertical="top" wrapText="1"/>
    </xf>
    <xf numFmtId="0" fontId="5" fillId="0" borderId="0" xfId="0" applyFont="1" applyAlignment="1">
      <alignment horizontal="justify" vertical="top" wrapText="1"/>
    </xf>
    <xf numFmtId="0" fontId="5" fillId="0" borderId="5" xfId="0" applyFont="1" applyBorder="1" applyAlignment="1">
      <alignment horizontal="justify" vertical="top" wrapText="1"/>
    </xf>
    <xf numFmtId="0" fontId="5" fillId="0" borderId="4" xfId="0" applyFont="1"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5" fillId="0" borderId="4" xfId="0" applyFont="1" applyBorder="1" applyAlignment="1">
      <alignment horizontal="left"/>
    </xf>
    <xf numFmtId="0" fontId="5" fillId="0" borderId="0" xfId="0" applyFont="1" applyAlignment="1">
      <alignment horizontal="left"/>
    </xf>
    <xf numFmtId="0" fontId="5" fillId="0" borderId="2"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1" fillId="0" borderId="11" xfId="0" quotePrefix="1" applyFont="1" applyBorder="1" applyAlignment="1">
      <alignment horizontal="left" vertical="center" wrapText="1"/>
    </xf>
    <xf numFmtId="0" fontId="5" fillId="0" borderId="7" xfId="0" quotePrefix="1" applyFont="1" applyBorder="1" applyAlignment="1">
      <alignment horizontal="left" vertical="center" wrapText="1"/>
    </xf>
    <xf numFmtId="0" fontId="5" fillId="0" borderId="10" xfId="0" quotePrefix="1" applyFont="1" applyBorder="1" applyAlignment="1">
      <alignment horizontal="left" vertical="center" wrapText="1"/>
    </xf>
    <xf numFmtId="0" fontId="5" fillId="0" borderId="4" xfId="0" quotePrefix="1" applyFont="1" applyBorder="1" applyAlignment="1">
      <alignment horizontal="left" vertical="center" wrapText="1"/>
    </xf>
    <xf numFmtId="0" fontId="5" fillId="0" borderId="0" xfId="0" quotePrefix="1" applyFont="1" applyAlignment="1">
      <alignment horizontal="left" vertical="center" wrapText="1"/>
    </xf>
    <xf numFmtId="0" fontId="5" fillId="0" borderId="5" xfId="0" quotePrefix="1" applyFont="1" applyBorder="1" applyAlignment="1">
      <alignment horizontal="left" vertical="center" wrapText="1"/>
    </xf>
    <xf numFmtId="0" fontId="5" fillId="0" borderId="8" xfId="0" quotePrefix="1" applyFont="1" applyBorder="1" applyAlignment="1">
      <alignment horizontal="left" vertical="center" wrapText="1"/>
    </xf>
    <xf numFmtId="0" fontId="5" fillId="0" borderId="1" xfId="0" quotePrefix="1" applyFont="1" applyBorder="1" applyAlignment="1">
      <alignment horizontal="left" vertical="center" wrapText="1"/>
    </xf>
    <xf numFmtId="0" fontId="5" fillId="0" borderId="9" xfId="0" quotePrefix="1" applyFont="1" applyBorder="1" applyAlignment="1">
      <alignment horizontal="left" vertical="center" wrapText="1"/>
    </xf>
    <xf numFmtId="167" fontId="5" fillId="0" borderId="0" xfId="0" applyNumberFormat="1" applyFont="1" applyAlignment="1">
      <alignment horizontal="center"/>
    </xf>
    <xf numFmtId="167" fontId="5" fillId="0" borderId="0" xfId="0" applyNumberFormat="1" applyFont="1" applyAlignment="1">
      <alignment horizontal="left" vertical="justify"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Ms.%20Excel\Rumus%20Terbilang%20FIXXXXXXXXXXXXXXX\terbilang.xla" TargetMode="External"/><Relationship Id="rId1" Type="http://schemas.openxmlformats.org/officeDocument/2006/relationships/externalLinkPath" Target="file:///C:\Ms.%20Excel\Rumus%20Terbilang%20FIXXXXXXXXXXXXXXX\terbilang.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erbilang"/>
    </sheetNames>
    <definedNames>
      <definedName name="terbilang"/>
    </definedNames>
    <sheetDataSet>
      <sheetData sheetId="0" refreshError="1"/>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EC47-2FC4-4A6C-8BF5-35587EA67115}">
  <dimension ref="A1:K118"/>
  <sheetViews>
    <sheetView tabSelected="1" view="pageBreakPreview" zoomScaleNormal="100" zoomScaleSheetLayoutView="100" workbookViewId="0">
      <selection activeCell="M26" sqref="M26"/>
    </sheetView>
  </sheetViews>
  <sheetFormatPr defaultRowHeight="14.4" x14ac:dyDescent="0.3"/>
  <cols>
    <col min="1" max="1" width="3.5546875" style="3" customWidth="1"/>
    <col min="2" max="2" width="3.109375" style="3" customWidth="1"/>
    <col min="3" max="3" width="21.5546875" style="3" customWidth="1"/>
    <col min="4" max="4" width="2.109375" style="3" customWidth="1"/>
    <col min="5" max="5" width="20.5546875" style="3" customWidth="1"/>
    <col min="6" max="6" width="2.5546875" style="3" customWidth="1"/>
    <col min="7" max="7" width="8.5546875" style="3" customWidth="1"/>
    <col min="8" max="8" width="15.109375" style="3" customWidth="1"/>
    <col min="9" max="9" width="1.88671875" style="3" customWidth="1"/>
    <col min="10" max="10" width="2.5546875" style="3" customWidth="1"/>
    <col min="11" max="11" width="29.109375" style="3" customWidth="1"/>
  </cols>
  <sheetData>
    <row r="1" spans="1:11" ht="15.6" x14ac:dyDescent="0.3">
      <c r="A1" s="1" t="s">
        <v>74</v>
      </c>
      <c r="B1" s="1"/>
      <c r="C1" s="1"/>
      <c r="D1" s="30"/>
      <c r="E1" s="1"/>
      <c r="F1" s="1"/>
      <c r="G1" s="1"/>
      <c r="H1" s="1" t="s">
        <v>45</v>
      </c>
      <c r="I1" s="1" t="s">
        <v>8</v>
      </c>
      <c r="J1" s="1"/>
      <c r="K1" s="1"/>
    </row>
    <row r="2" spans="1:11" ht="15.6" x14ac:dyDescent="0.3">
      <c r="A2" s="1" t="s">
        <v>69</v>
      </c>
      <c r="B2" s="1"/>
      <c r="C2" s="1"/>
      <c r="D2" s="30"/>
      <c r="E2" s="1"/>
      <c r="F2" s="1"/>
      <c r="G2" s="1"/>
      <c r="H2" s="1" t="s">
        <v>46</v>
      </c>
      <c r="I2" s="1" t="s">
        <v>8</v>
      </c>
      <c r="J2" s="1"/>
      <c r="K2" s="1"/>
    </row>
    <row r="3" spans="1:11" ht="15.6" x14ac:dyDescent="0.3">
      <c r="A3" s="1"/>
      <c r="B3" s="1"/>
      <c r="C3" s="1"/>
      <c r="D3" s="30"/>
      <c r="E3" s="1"/>
      <c r="F3" s="1"/>
      <c r="G3" s="1"/>
      <c r="H3" s="1" t="s">
        <v>47</v>
      </c>
      <c r="I3" s="1" t="s">
        <v>8</v>
      </c>
      <c r="J3" s="7" t="s">
        <v>100</v>
      </c>
      <c r="K3" s="1"/>
    </row>
    <row r="4" spans="1:11" ht="15.6" x14ac:dyDescent="0.3">
      <c r="A4" s="1"/>
      <c r="B4" s="1"/>
      <c r="C4" s="1"/>
      <c r="D4" s="1"/>
      <c r="E4" s="1"/>
      <c r="F4" s="1"/>
      <c r="G4" s="1"/>
      <c r="H4" s="1"/>
      <c r="I4" s="1"/>
      <c r="J4" s="1"/>
      <c r="K4" s="1"/>
    </row>
    <row r="5" spans="1:11" ht="21" x14ac:dyDescent="0.4">
      <c r="A5" s="95" t="s">
        <v>71</v>
      </c>
      <c r="B5" s="95"/>
      <c r="C5" s="95"/>
      <c r="D5" s="95"/>
      <c r="E5" s="95"/>
      <c r="F5" s="95"/>
      <c r="G5" s="95"/>
      <c r="H5" s="95"/>
      <c r="I5" s="95"/>
      <c r="J5" s="95"/>
      <c r="K5" s="95"/>
    </row>
    <row r="6" spans="1:11" ht="16.2" thickBot="1" x14ac:dyDescent="0.35">
      <c r="A6" s="1"/>
      <c r="B6" s="1"/>
      <c r="C6" s="1"/>
      <c r="D6" s="1"/>
      <c r="E6" s="1"/>
      <c r="F6" s="1"/>
      <c r="G6" s="1"/>
      <c r="H6" s="1"/>
      <c r="I6" s="1"/>
      <c r="J6" s="1"/>
      <c r="K6" s="1"/>
    </row>
    <row r="7" spans="1:11" ht="15.6" x14ac:dyDescent="0.3">
      <c r="A7" s="46"/>
      <c r="B7" s="29"/>
      <c r="C7" s="23"/>
      <c r="D7" s="23"/>
      <c r="E7" s="28"/>
      <c r="F7" s="24"/>
      <c r="G7" s="24"/>
      <c r="H7" s="24"/>
      <c r="I7" s="24"/>
      <c r="J7" s="24"/>
      <c r="K7" s="31"/>
    </row>
    <row r="8" spans="1:11" ht="15.75" customHeight="1" x14ac:dyDescent="0.3">
      <c r="A8" s="47" t="s">
        <v>24</v>
      </c>
      <c r="B8" s="13" t="s">
        <v>58</v>
      </c>
      <c r="C8" s="1"/>
      <c r="D8" s="1"/>
      <c r="E8" s="14"/>
      <c r="F8" s="96" t="s">
        <v>93</v>
      </c>
      <c r="G8" s="97"/>
      <c r="H8" s="97"/>
      <c r="I8" s="97"/>
      <c r="J8" s="97"/>
      <c r="K8" s="98"/>
    </row>
    <row r="9" spans="1:11" ht="16.2" thickBot="1" x14ac:dyDescent="0.35">
      <c r="A9" s="48"/>
      <c r="B9" s="13"/>
      <c r="C9" s="1"/>
      <c r="D9" s="1"/>
      <c r="E9" s="14"/>
      <c r="F9" s="1"/>
      <c r="G9" s="1"/>
      <c r="H9" s="1"/>
      <c r="I9" s="1"/>
      <c r="J9" s="1"/>
      <c r="K9" s="14"/>
    </row>
    <row r="10" spans="1:11" ht="15.6" x14ac:dyDescent="0.3">
      <c r="A10" s="49"/>
      <c r="B10" s="29"/>
      <c r="C10" s="23"/>
      <c r="D10" s="23"/>
      <c r="E10" s="28"/>
      <c r="F10" s="23"/>
      <c r="G10" s="23"/>
      <c r="H10" s="23"/>
      <c r="I10" s="23"/>
      <c r="J10" s="23"/>
      <c r="K10" s="28"/>
    </row>
    <row r="11" spans="1:11" ht="15.75" customHeight="1" x14ac:dyDescent="0.3">
      <c r="A11" s="47" t="s">
        <v>15</v>
      </c>
      <c r="B11" s="103" t="s">
        <v>82</v>
      </c>
      <c r="C11" s="104"/>
      <c r="D11" s="104"/>
      <c r="E11" s="105"/>
      <c r="F11" s="96" t="s">
        <v>101</v>
      </c>
      <c r="G11" s="97"/>
      <c r="H11" s="97"/>
      <c r="I11" s="97"/>
      <c r="J11" s="97"/>
      <c r="K11" s="98"/>
    </row>
    <row r="12" spans="1:11" ht="15.75" customHeight="1" x14ac:dyDescent="0.3">
      <c r="A12" s="47"/>
      <c r="B12" s="106"/>
      <c r="C12" s="104"/>
      <c r="D12" s="104"/>
      <c r="E12" s="105"/>
      <c r="F12" s="70" t="s">
        <v>102</v>
      </c>
      <c r="G12" s="60"/>
      <c r="H12" s="1"/>
      <c r="I12" s="1"/>
      <c r="J12" s="1"/>
      <c r="K12" s="14"/>
    </row>
    <row r="13" spans="1:11" ht="16.2" thickBot="1" x14ac:dyDescent="0.35">
      <c r="A13" s="50"/>
      <c r="B13" s="26"/>
      <c r="C13" s="2"/>
      <c r="D13" s="2"/>
      <c r="E13" s="27"/>
      <c r="F13" s="2"/>
      <c r="G13" s="2"/>
      <c r="H13" s="2"/>
      <c r="I13" s="2"/>
      <c r="J13" s="2"/>
      <c r="K13" s="27"/>
    </row>
    <row r="14" spans="1:11" ht="15.6" x14ac:dyDescent="0.3">
      <c r="A14" s="48"/>
      <c r="B14" s="13"/>
      <c r="C14" s="1"/>
      <c r="D14" s="1"/>
      <c r="E14" s="14"/>
      <c r="F14" s="1"/>
      <c r="G14" s="1"/>
      <c r="H14" s="1"/>
      <c r="I14" s="1"/>
      <c r="J14" s="1"/>
      <c r="K14" s="14"/>
    </row>
    <row r="15" spans="1:11" ht="15.6" x14ac:dyDescent="0.3">
      <c r="A15" s="47" t="s">
        <v>16</v>
      </c>
      <c r="B15" s="13" t="s">
        <v>25</v>
      </c>
      <c r="C15" s="1" t="s">
        <v>52</v>
      </c>
      <c r="D15" s="1"/>
      <c r="E15" s="14"/>
      <c r="F15" s="7" t="s">
        <v>44</v>
      </c>
      <c r="G15" s="7" t="s">
        <v>97</v>
      </c>
      <c r="H15" s="1"/>
      <c r="I15" s="1"/>
      <c r="J15" s="1"/>
      <c r="K15" s="14"/>
    </row>
    <row r="16" spans="1:11" ht="15.6" x14ac:dyDescent="0.3">
      <c r="A16" s="48"/>
      <c r="B16" s="25" t="s">
        <v>26</v>
      </c>
      <c r="C16" s="1" t="s">
        <v>27</v>
      </c>
      <c r="D16" s="1"/>
      <c r="E16" s="14"/>
      <c r="F16" s="7" t="s">
        <v>26</v>
      </c>
      <c r="G16" s="1" t="s">
        <v>103</v>
      </c>
      <c r="H16" s="1"/>
      <c r="I16" s="1"/>
      <c r="J16" s="1"/>
      <c r="K16" s="14"/>
    </row>
    <row r="17" spans="1:11" ht="15.6" x14ac:dyDescent="0.3">
      <c r="A17" s="48"/>
      <c r="B17" s="25" t="s">
        <v>28</v>
      </c>
      <c r="C17" s="1" t="s">
        <v>67</v>
      </c>
      <c r="D17" s="1"/>
      <c r="E17" s="14"/>
      <c r="F17" s="7" t="s">
        <v>28</v>
      </c>
      <c r="G17" s="1" t="s">
        <v>57</v>
      </c>
      <c r="H17" s="1"/>
      <c r="I17" s="1"/>
      <c r="J17" s="1"/>
      <c r="K17" s="14"/>
    </row>
    <row r="18" spans="1:11" ht="2.4" customHeight="1" thickBot="1" x14ac:dyDescent="0.35">
      <c r="A18" s="48"/>
      <c r="B18" s="13"/>
      <c r="C18" s="1"/>
      <c r="D18" s="1"/>
      <c r="E18" s="14"/>
      <c r="F18" s="1"/>
      <c r="G18" s="1"/>
      <c r="H18" s="1"/>
      <c r="I18" s="1"/>
      <c r="J18" s="1"/>
      <c r="K18" s="14"/>
    </row>
    <row r="19" spans="1:11" ht="15.6" x14ac:dyDescent="0.3">
      <c r="A19" s="49"/>
      <c r="B19" s="29"/>
      <c r="C19" s="23"/>
      <c r="D19" s="23"/>
      <c r="E19" s="28"/>
      <c r="F19" s="23"/>
      <c r="G19" s="23"/>
      <c r="H19" s="23"/>
      <c r="I19" s="23"/>
      <c r="J19" s="23"/>
      <c r="K19" s="28"/>
    </row>
    <row r="20" spans="1:11" ht="15.75" customHeight="1" x14ac:dyDescent="0.3">
      <c r="A20" s="47" t="s">
        <v>29</v>
      </c>
      <c r="B20" s="13" t="s">
        <v>66</v>
      </c>
      <c r="C20" s="1"/>
      <c r="D20" s="1"/>
      <c r="E20" s="14"/>
      <c r="F20" s="100" t="s">
        <v>104</v>
      </c>
      <c r="G20" s="101"/>
      <c r="H20" s="101"/>
      <c r="I20" s="101"/>
      <c r="J20" s="101"/>
      <c r="K20" s="102"/>
    </row>
    <row r="21" spans="1:11" ht="86.1" customHeight="1" x14ac:dyDescent="0.3">
      <c r="A21" s="47"/>
      <c r="B21" s="13"/>
      <c r="C21" s="1"/>
      <c r="D21" s="1"/>
      <c r="E21" s="14"/>
      <c r="F21" s="100"/>
      <c r="G21" s="101"/>
      <c r="H21" s="101"/>
      <c r="I21" s="101"/>
      <c r="J21" s="101"/>
      <c r="K21" s="102"/>
    </row>
    <row r="22" spans="1:11" ht="16.2" thickBot="1" x14ac:dyDescent="0.35">
      <c r="A22" s="50"/>
      <c r="B22" s="26"/>
      <c r="C22" s="2"/>
      <c r="D22" s="2"/>
      <c r="E22" s="27"/>
      <c r="F22" s="2"/>
      <c r="G22" s="2"/>
      <c r="H22" s="2"/>
      <c r="I22" s="2"/>
      <c r="J22" s="2"/>
      <c r="K22" s="27"/>
    </row>
    <row r="23" spans="1:11" ht="15.6" x14ac:dyDescent="0.3">
      <c r="A23" s="48"/>
      <c r="B23" s="13"/>
      <c r="C23" s="1"/>
      <c r="D23" s="1"/>
      <c r="E23" s="14"/>
      <c r="F23" s="1"/>
      <c r="G23" s="1"/>
      <c r="H23" s="1"/>
      <c r="I23" s="1"/>
      <c r="J23" s="1"/>
      <c r="K23" s="14"/>
    </row>
    <row r="24" spans="1:11" ht="15.6" x14ac:dyDescent="0.3">
      <c r="A24" s="47" t="s">
        <v>30</v>
      </c>
      <c r="B24" s="13" t="s">
        <v>60</v>
      </c>
      <c r="C24" s="1"/>
      <c r="D24" s="1"/>
      <c r="E24" s="14"/>
      <c r="F24" s="1" t="s">
        <v>105</v>
      </c>
      <c r="G24" s="1"/>
      <c r="H24" s="1"/>
      <c r="I24" s="1"/>
      <c r="J24" s="1"/>
      <c r="K24" s="14"/>
    </row>
    <row r="25" spans="1:11" ht="16.2" thickBot="1" x14ac:dyDescent="0.35">
      <c r="A25" s="48"/>
      <c r="B25" s="13"/>
      <c r="C25" s="1"/>
      <c r="D25" s="1"/>
      <c r="E25" s="14"/>
      <c r="F25" s="2"/>
      <c r="G25" s="2"/>
      <c r="H25" s="1"/>
      <c r="I25" s="1"/>
      <c r="J25" s="1"/>
      <c r="K25" s="14"/>
    </row>
    <row r="26" spans="1:11" ht="15.6" x14ac:dyDescent="0.3">
      <c r="A26" s="49"/>
      <c r="B26" s="29"/>
      <c r="C26" s="23"/>
      <c r="D26" s="23"/>
      <c r="E26" s="28"/>
      <c r="F26" s="23"/>
      <c r="G26" s="23"/>
      <c r="H26" s="23"/>
      <c r="I26" s="23"/>
      <c r="J26" s="23"/>
      <c r="K26" s="28"/>
    </row>
    <row r="27" spans="1:11" ht="15.6" x14ac:dyDescent="0.3">
      <c r="A27" s="47" t="s">
        <v>31</v>
      </c>
      <c r="B27" s="25" t="s">
        <v>25</v>
      </c>
      <c r="C27" s="1" t="s">
        <v>32</v>
      </c>
      <c r="D27" s="1"/>
      <c r="E27" s="14"/>
      <c r="F27" s="7" t="s">
        <v>25</v>
      </c>
      <c r="G27" s="1" t="s">
        <v>88</v>
      </c>
      <c r="H27" s="1"/>
      <c r="I27" s="1"/>
      <c r="J27" s="1"/>
      <c r="K27" s="14"/>
    </row>
    <row r="28" spans="1:11" ht="15.6" x14ac:dyDescent="0.3">
      <c r="A28" s="48"/>
      <c r="B28" s="25" t="s">
        <v>26</v>
      </c>
      <c r="C28" s="1" t="s">
        <v>61</v>
      </c>
      <c r="D28" s="1"/>
      <c r="E28" s="14"/>
      <c r="F28" s="7" t="s">
        <v>26</v>
      </c>
      <c r="G28" s="1" t="s">
        <v>106</v>
      </c>
      <c r="H28" s="1"/>
      <c r="I28" s="1"/>
      <c r="J28" s="1"/>
      <c r="K28" s="14"/>
    </row>
    <row r="29" spans="1:11" ht="16.2" thickBot="1" x14ac:dyDescent="0.35">
      <c r="A29" s="50"/>
      <c r="B29" s="26"/>
      <c r="C29" s="2"/>
      <c r="D29" s="2"/>
      <c r="E29" s="27"/>
      <c r="F29" s="2"/>
      <c r="G29" s="2"/>
      <c r="H29" s="2"/>
      <c r="I29" s="2"/>
      <c r="J29" s="2"/>
      <c r="K29" s="27"/>
    </row>
    <row r="30" spans="1:11" ht="15.6" x14ac:dyDescent="0.3">
      <c r="A30" s="48"/>
      <c r="B30" s="13"/>
      <c r="C30" s="1"/>
      <c r="D30" s="1"/>
      <c r="E30" s="14"/>
      <c r="F30" s="1"/>
      <c r="G30" s="1"/>
      <c r="H30" s="1"/>
      <c r="I30" s="1"/>
      <c r="J30" s="1"/>
      <c r="K30" s="14"/>
    </row>
    <row r="31" spans="1:11" ht="15.6" x14ac:dyDescent="0.3">
      <c r="A31" s="47" t="s">
        <v>33</v>
      </c>
      <c r="B31" s="25" t="s">
        <v>25</v>
      </c>
      <c r="C31" s="1" t="s">
        <v>34</v>
      </c>
      <c r="D31" s="1"/>
      <c r="E31" s="14"/>
      <c r="F31" s="25" t="s">
        <v>25</v>
      </c>
      <c r="G31" s="43">
        <v>3</v>
      </c>
      <c r="H31" s="1" t="s">
        <v>107</v>
      </c>
      <c r="I31" s="1"/>
      <c r="J31" s="1"/>
      <c r="K31" s="14"/>
    </row>
    <row r="32" spans="1:11" ht="15.6" x14ac:dyDescent="0.3">
      <c r="A32" s="48"/>
      <c r="B32" s="25" t="s">
        <v>26</v>
      </c>
      <c r="C32" s="1" t="s">
        <v>35</v>
      </c>
      <c r="D32" s="1"/>
      <c r="E32" s="14"/>
      <c r="F32" s="25" t="s">
        <v>26</v>
      </c>
      <c r="G32" s="11" t="s">
        <v>108</v>
      </c>
      <c r="H32" s="38"/>
      <c r="I32" s="1"/>
      <c r="J32" s="1"/>
      <c r="K32" s="14"/>
    </row>
    <row r="33" spans="1:11" ht="15.6" x14ac:dyDescent="0.3">
      <c r="A33" s="48"/>
      <c r="B33" s="25" t="s">
        <v>28</v>
      </c>
      <c r="C33" s="1" t="s">
        <v>62</v>
      </c>
      <c r="D33" s="1"/>
      <c r="E33" s="14"/>
      <c r="F33" s="25" t="s">
        <v>28</v>
      </c>
      <c r="G33" s="11" t="s">
        <v>109</v>
      </c>
      <c r="H33" s="38"/>
      <c r="I33" s="1"/>
      <c r="J33" s="1"/>
      <c r="K33" s="14"/>
    </row>
    <row r="34" spans="1:11" ht="16.2" thickBot="1" x14ac:dyDescent="0.35">
      <c r="A34" s="48"/>
      <c r="B34" s="13"/>
      <c r="C34" s="1"/>
      <c r="D34" s="1"/>
      <c r="E34" s="14"/>
      <c r="F34" s="1"/>
      <c r="G34" s="1"/>
      <c r="H34" s="1"/>
      <c r="I34" s="1"/>
      <c r="J34" s="1"/>
      <c r="K34" s="14"/>
    </row>
    <row r="35" spans="1:11" ht="16.2" thickBot="1" x14ac:dyDescent="0.35">
      <c r="A35" s="51" t="s">
        <v>36</v>
      </c>
      <c r="B35" s="4" t="s">
        <v>37</v>
      </c>
      <c r="C35" s="15"/>
      <c r="D35" s="15"/>
      <c r="E35" s="42"/>
      <c r="F35" s="109" t="s">
        <v>63</v>
      </c>
      <c r="G35" s="110"/>
      <c r="H35" s="110"/>
      <c r="I35" s="111"/>
      <c r="J35" s="109" t="s">
        <v>64</v>
      </c>
      <c r="K35" s="111"/>
    </row>
    <row r="36" spans="1:11" ht="15.6" x14ac:dyDescent="0.3">
      <c r="A36" s="48"/>
      <c r="B36" s="25" t="s">
        <v>24</v>
      </c>
      <c r="C36" s="1"/>
      <c r="D36" s="1"/>
      <c r="E36" s="14"/>
      <c r="F36" s="1"/>
      <c r="G36" s="1"/>
      <c r="H36" s="1"/>
      <c r="I36" s="1"/>
      <c r="J36" s="13"/>
      <c r="K36" s="14"/>
    </row>
    <row r="37" spans="1:11" ht="15.6" x14ac:dyDescent="0.3">
      <c r="A37" s="48"/>
      <c r="B37" s="25" t="s">
        <v>38</v>
      </c>
      <c r="C37" s="1"/>
      <c r="D37" s="1"/>
      <c r="E37" s="14"/>
      <c r="F37" s="1"/>
      <c r="G37" s="1"/>
      <c r="H37" s="1"/>
      <c r="I37" s="1"/>
      <c r="J37" s="13"/>
      <c r="K37" s="14"/>
    </row>
    <row r="38" spans="1:11" ht="15.6" x14ac:dyDescent="0.3">
      <c r="A38" s="48"/>
      <c r="B38" s="25" t="s">
        <v>16</v>
      </c>
      <c r="C38" s="1"/>
      <c r="D38" s="1"/>
      <c r="E38" s="14"/>
      <c r="F38" s="1"/>
      <c r="G38" s="1"/>
      <c r="H38" s="1"/>
      <c r="I38" s="1"/>
      <c r="J38" s="13"/>
      <c r="K38" s="14"/>
    </row>
    <row r="39" spans="1:11" ht="15.6" x14ac:dyDescent="0.3">
      <c r="A39" s="48"/>
      <c r="B39" s="25" t="s">
        <v>29</v>
      </c>
      <c r="C39" s="1"/>
      <c r="D39" s="1"/>
      <c r="E39" s="14"/>
      <c r="F39" s="1"/>
      <c r="G39" s="1"/>
      <c r="H39" s="1"/>
      <c r="I39" s="1"/>
      <c r="J39" s="13"/>
      <c r="K39" s="14"/>
    </row>
    <row r="40" spans="1:11" ht="16.2" thickBot="1" x14ac:dyDescent="0.35">
      <c r="A40" s="50"/>
      <c r="B40" s="40" t="s">
        <v>30</v>
      </c>
      <c r="C40" s="2"/>
      <c r="D40" s="2"/>
      <c r="E40" s="27"/>
      <c r="F40" s="2"/>
      <c r="G40" s="2"/>
      <c r="H40" s="2"/>
      <c r="I40" s="2"/>
      <c r="J40" s="26"/>
      <c r="K40" s="27"/>
    </row>
    <row r="41" spans="1:11" ht="15.6" x14ac:dyDescent="0.3">
      <c r="A41" s="48"/>
      <c r="B41" s="13"/>
      <c r="C41" s="1"/>
      <c r="D41" s="1"/>
      <c r="E41" s="14"/>
      <c r="F41" s="1"/>
      <c r="G41" s="1"/>
      <c r="H41" s="1"/>
      <c r="I41" s="1"/>
      <c r="J41" s="1"/>
      <c r="K41" s="14"/>
    </row>
    <row r="42" spans="1:11" ht="15.6" x14ac:dyDescent="0.3">
      <c r="A42" s="47" t="s">
        <v>39</v>
      </c>
      <c r="B42" s="13" t="s">
        <v>40</v>
      </c>
      <c r="C42" s="1"/>
      <c r="D42" s="1" t="s">
        <v>8</v>
      </c>
      <c r="E42" s="14"/>
      <c r="F42" s="107"/>
      <c r="G42" s="108"/>
      <c r="H42" s="1"/>
      <c r="I42" s="1"/>
      <c r="J42" s="1"/>
      <c r="K42" s="14"/>
    </row>
    <row r="43" spans="1:11" ht="15.6" x14ac:dyDescent="0.3">
      <c r="A43" s="48"/>
      <c r="B43" s="25" t="s">
        <v>25</v>
      </c>
      <c r="C43" s="1" t="s">
        <v>41</v>
      </c>
      <c r="D43" s="1" t="s">
        <v>8</v>
      </c>
      <c r="E43" s="14"/>
      <c r="F43" s="25" t="s">
        <v>25</v>
      </c>
      <c r="G43" s="1" t="s">
        <v>91</v>
      </c>
      <c r="H43" s="1"/>
      <c r="I43" s="1"/>
      <c r="J43" s="1"/>
      <c r="K43" s="14"/>
    </row>
    <row r="44" spans="1:11" ht="15.6" x14ac:dyDescent="0.3">
      <c r="A44" s="48"/>
      <c r="B44" s="25" t="s">
        <v>26</v>
      </c>
      <c r="C44" s="1" t="s">
        <v>65</v>
      </c>
      <c r="D44" s="1" t="s">
        <v>8</v>
      </c>
      <c r="E44" s="14"/>
      <c r="F44" s="25" t="s">
        <v>26</v>
      </c>
      <c r="G44" s="7" t="s">
        <v>98</v>
      </c>
      <c r="H44" s="1"/>
      <c r="I44" s="1"/>
      <c r="J44" s="1"/>
      <c r="K44" s="14"/>
    </row>
    <row r="45" spans="1:11" ht="16.2" thickBot="1" x14ac:dyDescent="0.35">
      <c r="A45" s="48"/>
      <c r="B45" s="13"/>
      <c r="C45" s="1"/>
      <c r="D45" s="1"/>
      <c r="E45" s="14"/>
      <c r="F45" s="1"/>
      <c r="G45" s="1"/>
      <c r="H45" s="1"/>
      <c r="I45" s="1"/>
      <c r="J45" s="1"/>
      <c r="K45" s="14"/>
    </row>
    <row r="46" spans="1:11" ht="15.6" x14ac:dyDescent="0.3">
      <c r="A46" s="49"/>
      <c r="B46" s="29"/>
      <c r="C46" s="23"/>
      <c r="D46" s="23"/>
      <c r="E46" s="28"/>
      <c r="F46" s="112" t="s">
        <v>110</v>
      </c>
      <c r="G46" s="113"/>
      <c r="H46" s="113"/>
      <c r="I46" s="113"/>
      <c r="J46" s="113"/>
      <c r="K46" s="114"/>
    </row>
    <row r="47" spans="1:11" ht="15.6" x14ac:dyDescent="0.3">
      <c r="A47" s="47" t="s">
        <v>42</v>
      </c>
      <c r="B47" s="13" t="s">
        <v>43</v>
      </c>
      <c r="C47" s="1"/>
      <c r="D47" s="1"/>
      <c r="E47" s="14"/>
      <c r="F47" s="115"/>
      <c r="G47" s="116"/>
      <c r="H47" s="116"/>
      <c r="I47" s="116"/>
      <c r="J47" s="116"/>
      <c r="K47" s="117"/>
    </row>
    <row r="48" spans="1:11" ht="16.2" thickBot="1" x14ac:dyDescent="0.35">
      <c r="A48" s="50"/>
      <c r="B48" s="26"/>
      <c r="C48" s="2"/>
      <c r="D48" s="2"/>
      <c r="E48" s="27"/>
      <c r="F48" s="118"/>
      <c r="G48" s="119"/>
      <c r="H48" s="119"/>
      <c r="I48" s="119"/>
      <c r="J48" s="119"/>
      <c r="K48" s="120"/>
    </row>
    <row r="49" spans="1:11" ht="15.6" x14ac:dyDescent="0.3">
      <c r="A49" s="36" t="s">
        <v>83</v>
      </c>
      <c r="B49" s="39" t="s">
        <v>68</v>
      </c>
      <c r="C49" s="39"/>
      <c r="D49" s="39"/>
      <c r="E49" s="1"/>
      <c r="F49" s="1"/>
      <c r="G49" s="1"/>
      <c r="H49" s="1"/>
      <c r="I49" s="1"/>
      <c r="J49" s="1"/>
      <c r="K49" s="1"/>
    </row>
    <row r="50" spans="1:11" ht="15.6" x14ac:dyDescent="0.3">
      <c r="A50" s="30"/>
      <c r="B50" s="39"/>
      <c r="C50" s="39"/>
      <c r="D50" s="39"/>
      <c r="E50" s="1"/>
      <c r="F50" s="1"/>
      <c r="G50" s="1"/>
      <c r="H50" s="1"/>
      <c r="I50" s="1"/>
      <c r="J50" s="1"/>
      <c r="K50" s="1"/>
    </row>
    <row r="51" spans="1:11" ht="15.6" x14ac:dyDescent="0.3">
      <c r="A51" s="30"/>
      <c r="B51" s="1"/>
      <c r="C51" s="99"/>
      <c r="D51" s="99"/>
      <c r="E51" s="99"/>
      <c r="F51" s="1"/>
      <c r="G51" s="1"/>
      <c r="H51" s="1" t="s">
        <v>70</v>
      </c>
      <c r="I51" s="1" t="s">
        <v>8</v>
      </c>
      <c r="J51" s="1" t="s">
        <v>77</v>
      </c>
      <c r="K51" s="1"/>
    </row>
    <row r="52" spans="1:11" ht="15.6" x14ac:dyDescent="0.3">
      <c r="A52" s="30"/>
      <c r="B52" s="1"/>
      <c r="C52" s="99"/>
      <c r="D52" s="99"/>
      <c r="E52" s="99"/>
      <c r="F52" s="1"/>
      <c r="G52" s="1"/>
      <c r="H52" s="1" t="s">
        <v>4</v>
      </c>
      <c r="I52" s="7" t="s">
        <v>8</v>
      </c>
      <c r="J52" s="65" t="s">
        <v>111</v>
      </c>
      <c r="K52" s="7"/>
    </row>
    <row r="53" spans="1:11" ht="15.6" x14ac:dyDescent="0.3">
      <c r="A53" s="30"/>
      <c r="B53" s="1"/>
      <c r="C53" s="78"/>
      <c r="D53" s="78"/>
      <c r="E53" s="78"/>
      <c r="F53" s="1"/>
      <c r="G53" s="1"/>
      <c r="H53" s="78" t="s">
        <v>72</v>
      </c>
      <c r="I53" s="78"/>
      <c r="J53" s="78"/>
      <c r="K53" s="78"/>
    </row>
    <row r="54" spans="1:11" ht="15.6" x14ac:dyDescent="0.3">
      <c r="A54" s="30"/>
      <c r="B54" s="1"/>
      <c r="C54" s="78"/>
      <c r="D54" s="78"/>
      <c r="E54" s="78"/>
      <c r="F54" s="1"/>
      <c r="G54" s="1"/>
      <c r="H54" s="78" t="s">
        <v>73</v>
      </c>
      <c r="I54" s="78"/>
      <c r="J54" s="78"/>
      <c r="K54" s="78"/>
    </row>
    <row r="55" spans="1:11" ht="15.6" x14ac:dyDescent="0.3">
      <c r="A55" s="30"/>
      <c r="B55" s="1"/>
      <c r="C55" s="30"/>
      <c r="D55" s="30"/>
      <c r="E55" s="30"/>
      <c r="F55" s="1"/>
      <c r="G55" s="1"/>
      <c r="H55" s="30"/>
      <c r="I55" s="30"/>
      <c r="J55" s="30"/>
      <c r="K55" s="30"/>
    </row>
    <row r="56" spans="1:11" ht="15.6" x14ac:dyDescent="0.3">
      <c r="A56" s="30"/>
      <c r="B56" s="1"/>
      <c r="C56" s="1"/>
      <c r="D56" s="1"/>
      <c r="E56" s="1"/>
      <c r="F56" s="1"/>
      <c r="G56" s="1"/>
      <c r="H56" s="78"/>
      <c r="I56" s="78"/>
      <c r="J56" s="78"/>
      <c r="K56" s="78"/>
    </row>
    <row r="57" spans="1:11" ht="15.6" x14ac:dyDescent="0.3">
      <c r="A57" s="30"/>
      <c r="B57" s="1"/>
      <c r="C57" s="1"/>
      <c r="D57" s="1"/>
      <c r="E57" s="1"/>
      <c r="F57" s="1"/>
      <c r="G57" s="1"/>
      <c r="H57" s="78"/>
      <c r="I57" s="78"/>
      <c r="J57" s="78"/>
      <c r="K57" s="78"/>
    </row>
    <row r="58" spans="1:11" ht="15.75" customHeight="1" x14ac:dyDescent="0.3">
      <c r="A58" s="30"/>
      <c r="B58" s="1"/>
      <c r="C58" s="30"/>
      <c r="D58" s="30"/>
      <c r="E58" s="30"/>
      <c r="F58" s="1"/>
      <c r="G58" s="1"/>
      <c r="H58" s="94" t="str">
        <f>F8</f>
        <v>Kaharuddin, S.Pd.</v>
      </c>
      <c r="I58" s="94"/>
      <c r="J58" s="94"/>
      <c r="K58" s="94"/>
    </row>
    <row r="59" spans="1:11" ht="15.6" x14ac:dyDescent="0.3">
      <c r="A59" s="30"/>
      <c r="B59" s="1"/>
      <c r="C59" s="78"/>
      <c r="D59" s="78"/>
      <c r="E59" s="78"/>
      <c r="F59" s="1"/>
      <c r="G59" s="1"/>
      <c r="H59" s="78" t="s">
        <v>94</v>
      </c>
      <c r="I59" s="78"/>
      <c r="J59" s="78"/>
      <c r="K59" s="78"/>
    </row>
    <row r="60" spans="1:11" x14ac:dyDescent="0.3">
      <c r="A60"/>
      <c r="B60"/>
      <c r="C60"/>
      <c r="D60"/>
      <c r="E60"/>
      <c r="F60"/>
      <c r="G60"/>
      <c r="H60"/>
      <c r="I60"/>
      <c r="J60"/>
      <c r="K60"/>
    </row>
    <row r="61" spans="1:11" x14ac:dyDescent="0.3">
      <c r="A61"/>
      <c r="B61"/>
      <c r="C61"/>
      <c r="D61"/>
      <c r="E61"/>
      <c r="F61"/>
      <c r="G61"/>
      <c r="H61"/>
      <c r="I61"/>
      <c r="J61"/>
      <c r="K61"/>
    </row>
    <row r="62" spans="1:11" x14ac:dyDescent="0.3">
      <c r="A62"/>
      <c r="B62"/>
      <c r="C62"/>
      <c r="D62"/>
      <c r="E62"/>
      <c r="F62"/>
      <c r="G62"/>
      <c r="H62"/>
      <c r="I62"/>
      <c r="J62"/>
      <c r="K62"/>
    </row>
    <row r="63" spans="1:11" x14ac:dyDescent="0.3">
      <c r="A63"/>
      <c r="B63"/>
      <c r="C63"/>
      <c r="D63"/>
      <c r="E63"/>
      <c r="F63"/>
      <c r="G63"/>
      <c r="H63"/>
      <c r="I63"/>
      <c r="J63"/>
      <c r="K63"/>
    </row>
    <row r="64" spans="1:11" x14ac:dyDescent="0.3">
      <c r="A64"/>
      <c r="B64"/>
      <c r="C64"/>
      <c r="D64"/>
      <c r="E64"/>
      <c r="F64"/>
      <c r="G64"/>
      <c r="H64"/>
      <c r="I64"/>
      <c r="J64"/>
      <c r="K64"/>
    </row>
    <row r="65" customFormat="1" x14ac:dyDescent="0.3"/>
    <row r="66" customFormat="1" x14ac:dyDescent="0.3"/>
    <row r="67" customFormat="1" ht="15.75" customHeight="1" x14ac:dyDescent="0.3"/>
    <row r="68" customFormat="1" x14ac:dyDescent="0.3"/>
    <row r="69" customFormat="1" x14ac:dyDescent="0.3"/>
    <row r="70" customFormat="1" ht="15.75" customHeight="1" x14ac:dyDescent="0.3"/>
    <row r="71" customFormat="1" ht="15.75" customHeigh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ht="15.75" customHeight="1" x14ac:dyDescent="0.3"/>
    <row r="80" customFormat="1" ht="82.5" customHeigh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ht="15.75" customHeigh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ht="15.75" customHeight="1" x14ac:dyDescent="0.3"/>
    <row r="118" customFormat="1" x14ac:dyDescent="0.3"/>
  </sheetData>
  <mergeCells count="20">
    <mergeCell ref="A5:K5"/>
    <mergeCell ref="F8:K8"/>
    <mergeCell ref="C51:E51"/>
    <mergeCell ref="C52:E52"/>
    <mergeCell ref="F20:K21"/>
    <mergeCell ref="B11:E12"/>
    <mergeCell ref="F42:G42"/>
    <mergeCell ref="F35:I35"/>
    <mergeCell ref="F46:K48"/>
    <mergeCell ref="F11:K11"/>
    <mergeCell ref="J35:K35"/>
    <mergeCell ref="C59:E59"/>
    <mergeCell ref="C53:E53"/>
    <mergeCell ref="C54:E54"/>
    <mergeCell ref="H58:K58"/>
    <mergeCell ref="H53:K53"/>
    <mergeCell ref="H54:K54"/>
    <mergeCell ref="H56:K56"/>
    <mergeCell ref="H57:K57"/>
    <mergeCell ref="H59:K59"/>
  </mergeCells>
  <phoneticPr fontId="3" type="noConversion"/>
  <printOptions horizontalCentered="1"/>
  <pageMargins left="0.5" right="0.5" top="0.5" bottom="1" header="0" footer="0"/>
  <pageSetup paperSize="5" scale="65" orientation="portrait" r:id="rId1"/>
  <rowBreaks count="1" manualBreakCount="1">
    <brk id="5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5498-8942-4F96-9444-908318E82AF4}">
  <dimension ref="A1:K95"/>
  <sheetViews>
    <sheetView view="pageBreakPreview" zoomScaleNormal="100" zoomScaleSheetLayoutView="100" workbookViewId="0">
      <selection activeCell="C16" sqref="C16"/>
    </sheetView>
  </sheetViews>
  <sheetFormatPr defaultColWidth="9.109375" defaultRowHeight="15" x14ac:dyDescent="0.25"/>
  <cols>
    <col min="1" max="1" width="4.44140625" style="1" customWidth="1"/>
    <col min="2" max="2" width="10" style="1" customWidth="1"/>
    <col min="3" max="3" width="24.5546875" style="1" customWidth="1"/>
    <col min="4" max="4" width="5.88671875" style="1" bestFit="1" customWidth="1"/>
    <col min="5" max="5" width="2.44140625" style="1" customWidth="1"/>
    <col min="6" max="6" width="5.109375" style="1" customWidth="1"/>
    <col min="7" max="7" width="4.88671875" style="1" customWidth="1"/>
    <col min="8" max="8" width="3.5546875" style="1" customWidth="1"/>
    <col min="9" max="9" width="16.5546875" style="1" customWidth="1"/>
    <col min="10" max="10" width="17.88671875" style="1" customWidth="1"/>
    <col min="11" max="11" width="13.44140625" style="1" customWidth="1"/>
    <col min="12" max="12" width="22.88671875" style="3" customWidth="1"/>
    <col min="13" max="16384" width="9.109375" style="3"/>
  </cols>
  <sheetData>
    <row r="1" spans="1:11" ht="21" x14ac:dyDescent="0.4">
      <c r="A1" s="80" t="s">
        <v>12</v>
      </c>
      <c r="B1" s="80"/>
      <c r="C1" s="80"/>
      <c r="D1" s="80"/>
      <c r="E1" s="80"/>
      <c r="F1" s="80"/>
      <c r="G1" s="80"/>
      <c r="H1" s="80"/>
      <c r="I1" s="80"/>
      <c r="J1" s="80"/>
      <c r="K1" s="80"/>
    </row>
    <row r="3" spans="1:11" x14ac:dyDescent="0.25">
      <c r="C3" s="1" t="s">
        <v>76</v>
      </c>
      <c r="H3" s="1" t="s">
        <v>8</v>
      </c>
      <c r="I3" s="52" t="str">
        <f>SPPD!J3</f>
        <v>2.23/157/LP.00.04/XI/2025</v>
      </c>
      <c r="J3" s="7"/>
    </row>
    <row r="4" spans="1:11" x14ac:dyDescent="0.25">
      <c r="C4" s="1" t="s">
        <v>48</v>
      </c>
      <c r="G4" s="11"/>
      <c r="H4" s="1" t="s">
        <v>8</v>
      </c>
      <c r="I4" s="1" t="str">
        <f>SPPD!J52</f>
        <v>07 - 11 - 2025</v>
      </c>
    </row>
    <row r="5" spans="1:11" x14ac:dyDescent="0.25">
      <c r="K5" s="11"/>
    </row>
    <row r="6" spans="1:11" ht="15.6" thickBot="1" x14ac:dyDescent="0.3"/>
    <row r="7" spans="1:11" s="44" customFormat="1" ht="16.2" thickBot="1" x14ac:dyDescent="0.35">
      <c r="A7" s="12" t="s">
        <v>13</v>
      </c>
      <c r="B7" s="81" t="s">
        <v>14</v>
      </c>
      <c r="C7" s="82"/>
      <c r="D7" s="82"/>
      <c r="E7" s="82"/>
      <c r="F7" s="82"/>
      <c r="G7" s="82"/>
      <c r="H7" s="82"/>
      <c r="I7" s="83"/>
      <c r="J7" s="59" t="s">
        <v>50</v>
      </c>
      <c r="K7" s="59" t="s">
        <v>80</v>
      </c>
    </row>
    <row r="8" spans="1:11" s="44" customFormat="1" ht="15.6" x14ac:dyDescent="0.3">
      <c r="A8" s="61"/>
      <c r="B8" s="62"/>
      <c r="C8" s="63"/>
      <c r="D8" s="63"/>
      <c r="E8" s="63"/>
      <c r="F8" s="63"/>
      <c r="G8" s="63"/>
      <c r="H8" s="63"/>
      <c r="I8" s="64"/>
      <c r="J8" s="55"/>
      <c r="K8" s="16"/>
    </row>
    <row r="9" spans="1:11" s="44" customFormat="1" x14ac:dyDescent="0.3">
      <c r="A9" s="71" t="s">
        <v>24</v>
      </c>
      <c r="B9" s="88" t="s">
        <v>99</v>
      </c>
      <c r="C9" s="89"/>
      <c r="D9" s="72"/>
      <c r="E9" s="54">
        <v>3</v>
      </c>
      <c r="F9" s="72" t="s">
        <v>92</v>
      </c>
      <c r="G9" s="72" t="s">
        <v>89</v>
      </c>
      <c r="H9" s="54"/>
      <c r="I9" s="73">
        <v>370000</v>
      </c>
      <c r="J9" s="68">
        <f>E9*I9</f>
        <v>1110000</v>
      </c>
      <c r="K9" s="66"/>
    </row>
    <row r="10" spans="1:11" s="44" customFormat="1" ht="15.6" customHeight="1" x14ac:dyDescent="0.3">
      <c r="A10" s="77" t="s">
        <v>38</v>
      </c>
      <c r="B10" s="75" t="s">
        <v>112</v>
      </c>
      <c r="C10" s="76"/>
      <c r="D10" s="72"/>
      <c r="E10" s="54"/>
      <c r="F10" s="72"/>
      <c r="G10" s="54"/>
      <c r="H10" s="54"/>
      <c r="I10" s="73"/>
      <c r="J10" s="68">
        <f>68600+60000+76500+22500</f>
        <v>227600</v>
      </c>
      <c r="K10" s="66"/>
    </row>
    <row r="11" spans="1:11" s="44" customFormat="1" x14ac:dyDescent="0.3">
      <c r="A11" s="77" t="s">
        <v>16</v>
      </c>
      <c r="B11" s="75" t="s">
        <v>113</v>
      </c>
      <c r="C11" s="76"/>
      <c r="D11" s="72"/>
      <c r="E11" s="54"/>
      <c r="F11" s="72"/>
      <c r="G11" s="54"/>
      <c r="H11" s="54"/>
      <c r="I11" s="73"/>
      <c r="J11" s="68">
        <v>817550</v>
      </c>
      <c r="K11" s="66"/>
    </row>
    <row r="12" spans="1:11" s="44" customFormat="1" x14ac:dyDescent="0.3">
      <c r="A12" s="71" t="s">
        <v>29</v>
      </c>
      <c r="B12" s="88" t="s">
        <v>114</v>
      </c>
      <c r="C12" s="89"/>
      <c r="D12" s="72"/>
      <c r="E12" s="54"/>
      <c r="F12" s="54"/>
      <c r="G12" s="54"/>
      <c r="H12" s="54"/>
      <c r="I12" s="56"/>
      <c r="J12" s="68">
        <f>1542100+1553801</f>
        <v>3095901</v>
      </c>
      <c r="K12" s="66"/>
    </row>
    <row r="13" spans="1:11" s="44" customFormat="1" ht="16.2" thickBot="1" x14ac:dyDescent="0.3">
      <c r="A13" s="45"/>
      <c r="B13" s="74"/>
      <c r="C13" s="43"/>
      <c r="D13" s="43"/>
      <c r="E13" s="43"/>
      <c r="F13" s="43"/>
      <c r="G13" s="43"/>
      <c r="H13" s="43"/>
      <c r="I13" s="66"/>
      <c r="J13" s="67"/>
      <c r="K13" s="16"/>
    </row>
    <row r="14" spans="1:11" s="57" customFormat="1" ht="16.5" customHeight="1" thickBot="1" x14ac:dyDescent="0.35">
      <c r="A14" s="85" t="s">
        <v>81</v>
      </c>
      <c r="B14" s="86"/>
      <c r="C14" s="86"/>
      <c r="D14" s="86"/>
      <c r="E14" s="86"/>
      <c r="F14" s="86"/>
      <c r="G14" s="86"/>
      <c r="H14" s="86"/>
      <c r="I14" s="87"/>
      <c r="J14" s="58">
        <f>SUM(J9:J13)</f>
        <v>5251051</v>
      </c>
      <c r="K14" s="56"/>
    </row>
    <row r="15" spans="1:11" s="57" customFormat="1" ht="29.4" customHeight="1" thickBot="1" x14ac:dyDescent="0.35">
      <c r="A15" s="85" t="s">
        <v>84</v>
      </c>
      <c r="B15" s="86"/>
      <c r="C15" s="90" t="e" cm="1">
        <f t="array" aca="1" ref="C15" ca="1">PROPER([1]!terbilang(J14))&amp;" Rupiah"</f>
        <v>#NAME?</v>
      </c>
      <c r="D15" s="90"/>
      <c r="E15" s="90"/>
      <c r="F15" s="90"/>
      <c r="G15" s="90"/>
      <c r="H15" s="90"/>
      <c r="I15" s="90"/>
      <c r="J15" s="90"/>
      <c r="K15" s="91"/>
    </row>
    <row r="17" spans="1:11" ht="15.75" customHeight="1" x14ac:dyDescent="0.25">
      <c r="I17" s="1" t="s">
        <v>86</v>
      </c>
    </row>
    <row r="18" spans="1:11" x14ac:dyDescent="0.25">
      <c r="J18" s="18"/>
    </row>
    <row r="19" spans="1:11" x14ac:dyDescent="0.25">
      <c r="B19" s="1" t="s">
        <v>17</v>
      </c>
      <c r="I19" s="1" t="s">
        <v>18</v>
      </c>
    </row>
    <row r="20" spans="1:11" x14ac:dyDescent="0.25">
      <c r="A20" s="17"/>
      <c r="B20" s="84">
        <f>J14</f>
        <v>5251051</v>
      </c>
      <c r="C20" s="84"/>
      <c r="I20" s="17">
        <f>J14</f>
        <v>5251051</v>
      </c>
      <c r="J20" s="5"/>
      <c r="K20" s="6"/>
    </row>
    <row r="21" spans="1:11" x14ac:dyDescent="0.25">
      <c r="B21" s="10"/>
      <c r="C21" s="10"/>
      <c r="J21" s="5"/>
      <c r="K21" s="6"/>
    </row>
    <row r="22" spans="1:11" x14ac:dyDescent="0.25">
      <c r="B22" s="78" t="s">
        <v>53</v>
      </c>
      <c r="C22" s="78"/>
      <c r="D22" s="78"/>
      <c r="E22" s="78"/>
      <c r="F22" s="78"/>
      <c r="I22" s="78" t="s">
        <v>19</v>
      </c>
      <c r="J22" s="78"/>
      <c r="K22" s="78"/>
    </row>
    <row r="23" spans="1:11" x14ac:dyDescent="0.25">
      <c r="B23" s="79"/>
      <c r="C23" s="79"/>
      <c r="D23" s="79"/>
      <c r="E23" s="79"/>
      <c r="F23" s="79"/>
    </row>
    <row r="25" spans="1:11" x14ac:dyDescent="0.25">
      <c r="B25" s="79"/>
      <c r="C25" s="79"/>
      <c r="D25" s="79"/>
      <c r="E25" s="79"/>
      <c r="F25" s="79"/>
    </row>
    <row r="26" spans="1:11" x14ac:dyDescent="0.25">
      <c r="B26" s="79"/>
      <c r="C26" s="79"/>
      <c r="D26" s="79"/>
      <c r="E26" s="79"/>
      <c r="F26" s="79"/>
    </row>
    <row r="27" spans="1:11" x14ac:dyDescent="0.25">
      <c r="B27" s="78" t="s">
        <v>95</v>
      </c>
      <c r="C27" s="78"/>
      <c r="D27" s="78"/>
      <c r="E27" s="78"/>
      <c r="F27" s="78"/>
      <c r="I27" s="78" t="str">
        <f>SPPD!F11</f>
        <v>Eka Elvira, S.S.</v>
      </c>
      <c r="J27" s="78"/>
      <c r="K27" s="78"/>
    </row>
    <row r="28" spans="1:11" x14ac:dyDescent="0.25">
      <c r="B28" s="78" t="s">
        <v>96</v>
      </c>
      <c r="C28" s="78"/>
      <c r="D28" s="78"/>
      <c r="E28" s="78"/>
      <c r="F28" s="78"/>
      <c r="G28" s="7"/>
      <c r="I28" s="78" t="str">
        <f>SPPD!F12</f>
        <v>NIP. 19880831 202012 2 011</v>
      </c>
      <c r="J28" s="78"/>
      <c r="K28" s="78"/>
    </row>
    <row r="29" spans="1:11" ht="15.6" thickBot="1" x14ac:dyDescent="0.3">
      <c r="A29" s="2"/>
      <c r="B29" s="21"/>
      <c r="C29" s="21"/>
      <c r="D29" s="21"/>
      <c r="E29" s="21"/>
      <c r="F29" s="21"/>
      <c r="G29" s="69"/>
      <c r="H29" s="2"/>
      <c r="I29" s="2"/>
      <c r="J29" s="2"/>
      <c r="K29" s="2"/>
    </row>
    <row r="30" spans="1:11" x14ac:dyDescent="0.25">
      <c r="E30" s="30"/>
      <c r="F30" s="30"/>
    </row>
    <row r="31" spans="1:11" ht="15.6" x14ac:dyDescent="0.3">
      <c r="A31" s="92" t="s">
        <v>20</v>
      </c>
      <c r="B31" s="92"/>
      <c r="C31" s="92"/>
      <c r="D31" s="92"/>
      <c r="E31" s="92"/>
      <c r="F31" s="92"/>
      <c r="G31" s="92"/>
      <c r="H31" s="92"/>
      <c r="I31" s="92"/>
      <c r="J31" s="92"/>
      <c r="K31" s="92"/>
    </row>
    <row r="32" spans="1:11" x14ac:dyDescent="0.25">
      <c r="E32" s="30"/>
      <c r="F32" s="30"/>
    </row>
    <row r="33" spans="1:11" x14ac:dyDescent="0.25">
      <c r="E33" s="30"/>
      <c r="F33" s="30"/>
    </row>
    <row r="34" spans="1:11" x14ac:dyDescent="0.25">
      <c r="A34" s="1" t="s">
        <v>21</v>
      </c>
      <c r="E34" s="30"/>
      <c r="F34" s="3"/>
      <c r="G34" s="84">
        <f>J14</f>
        <v>5251051</v>
      </c>
      <c r="H34" s="84"/>
      <c r="I34" s="84"/>
    </row>
    <row r="35" spans="1:11" ht="16.5" customHeight="1" thickBot="1" x14ac:dyDescent="0.3">
      <c r="A35" s="1" t="s">
        <v>22</v>
      </c>
      <c r="E35" s="30"/>
      <c r="F35" s="3"/>
      <c r="G35" s="84">
        <f>J14</f>
        <v>5251051</v>
      </c>
      <c r="H35" s="84"/>
      <c r="I35" s="84"/>
    </row>
    <row r="36" spans="1:11" ht="15.6" x14ac:dyDescent="0.3">
      <c r="A36" s="1" t="s">
        <v>23</v>
      </c>
      <c r="E36" s="30"/>
      <c r="F36" s="3"/>
      <c r="G36" s="93" t="s">
        <v>49</v>
      </c>
      <c r="H36" s="93"/>
      <c r="I36" s="93"/>
    </row>
    <row r="37" spans="1:11" ht="15.6" x14ac:dyDescent="0.3">
      <c r="E37" s="30"/>
      <c r="F37" s="3"/>
      <c r="G37" s="8"/>
      <c r="H37" s="8"/>
      <c r="I37" s="8"/>
    </row>
    <row r="38" spans="1:11" ht="15.6" x14ac:dyDescent="0.3">
      <c r="E38" s="30"/>
      <c r="G38" s="8"/>
      <c r="H38" s="8"/>
    </row>
    <row r="39" spans="1:11" x14ac:dyDescent="0.25">
      <c r="E39" s="30"/>
      <c r="F39" s="30"/>
    </row>
    <row r="40" spans="1:11" x14ac:dyDescent="0.25">
      <c r="G40" s="78" t="s">
        <v>87</v>
      </c>
      <c r="H40" s="78"/>
      <c r="I40" s="78"/>
      <c r="J40" s="78"/>
      <c r="K40" s="78"/>
    </row>
    <row r="41" spans="1:11" x14ac:dyDescent="0.25">
      <c r="G41" s="78" t="s">
        <v>59</v>
      </c>
      <c r="H41" s="78"/>
      <c r="I41" s="78"/>
      <c r="J41" s="78"/>
      <c r="K41" s="78"/>
    </row>
    <row r="42" spans="1:11" x14ac:dyDescent="0.25">
      <c r="G42" s="78" t="s">
        <v>58</v>
      </c>
      <c r="H42" s="78"/>
      <c r="I42" s="78"/>
      <c r="J42" s="78"/>
      <c r="K42" s="78"/>
    </row>
    <row r="43" spans="1:11" x14ac:dyDescent="0.25">
      <c r="F43" s="7"/>
    </row>
    <row r="44" spans="1:11" x14ac:dyDescent="0.25">
      <c r="F44" s="7"/>
    </row>
    <row r="47" spans="1:11" x14ac:dyDescent="0.25">
      <c r="G47" s="78" t="str">
        <f>SPPD!H58</f>
        <v>Kaharuddin, S.Pd.</v>
      </c>
      <c r="H47" s="78"/>
      <c r="I47" s="78"/>
      <c r="J47" s="78"/>
      <c r="K47" s="78"/>
    </row>
    <row r="48" spans="1:11" x14ac:dyDescent="0.25">
      <c r="G48" s="78" t="str">
        <f>SPPD!H59</f>
        <v xml:space="preserve">      NIP. 19920524 202012 1 014</v>
      </c>
      <c r="H48" s="78"/>
      <c r="I48" s="78"/>
      <c r="J48" s="78"/>
      <c r="K48" s="78"/>
    </row>
    <row r="49" s="3" customFormat="1" ht="13.8" x14ac:dyDescent="0.25"/>
    <row r="50" s="3" customFormat="1" ht="13.8" x14ac:dyDescent="0.25"/>
    <row r="51" s="3" customFormat="1" ht="13.8" x14ac:dyDescent="0.25"/>
    <row r="52" s="3" customFormat="1" ht="13.8" x14ac:dyDescent="0.25"/>
    <row r="53" s="3" customFormat="1" ht="13.8" x14ac:dyDescent="0.25"/>
    <row r="54" s="3" customFormat="1" ht="13.8" x14ac:dyDescent="0.25"/>
    <row r="55" s="44" customFormat="1" ht="13.8" x14ac:dyDescent="0.3"/>
    <row r="56" s="44" customFormat="1" ht="13.8" x14ac:dyDescent="0.3"/>
    <row r="57" s="44" customFormat="1" ht="13.8" x14ac:dyDescent="0.3"/>
    <row r="58" s="44" customFormat="1" ht="13.8" x14ac:dyDescent="0.3"/>
    <row r="59" s="44" customFormat="1" ht="13.8" x14ac:dyDescent="0.3"/>
    <row r="60" s="44" customFormat="1" ht="13.8" x14ac:dyDescent="0.3"/>
    <row r="61" s="44" customFormat="1" ht="13.8" x14ac:dyDescent="0.3"/>
    <row r="62" s="57" customFormat="1" ht="16.5" customHeight="1" x14ac:dyDescent="0.3"/>
    <row r="63" s="57" customFormat="1" ht="34.35" customHeight="1" x14ac:dyDescent="0.3"/>
    <row r="64" s="3" customFormat="1" ht="13.8" x14ac:dyDescent="0.25"/>
    <row r="65" s="3" customFormat="1" ht="15.75" customHeight="1" x14ac:dyDescent="0.25"/>
    <row r="66" s="3" customFormat="1" ht="13.8" x14ac:dyDescent="0.25"/>
    <row r="67" s="3" customFormat="1" ht="13.8" x14ac:dyDescent="0.25"/>
    <row r="68" s="3" customFormat="1" ht="13.8" x14ac:dyDescent="0.25"/>
    <row r="69" s="3" customFormat="1" ht="13.8" x14ac:dyDescent="0.25"/>
    <row r="70" s="3" customFormat="1" ht="13.8" x14ac:dyDescent="0.25"/>
    <row r="71" s="3" customFormat="1" ht="13.8" x14ac:dyDescent="0.25"/>
    <row r="72" s="3" customFormat="1" ht="13.8" x14ac:dyDescent="0.25"/>
    <row r="73" s="3" customFormat="1" ht="13.8" x14ac:dyDescent="0.25"/>
    <row r="74" s="3" customFormat="1" ht="13.8" x14ac:dyDescent="0.25"/>
    <row r="75" s="3" customFormat="1" ht="13.8" x14ac:dyDescent="0.25"/>
    <row r="76" s="3" customFormat="1" ht="13.8" x14ac:dyDescent="0.25"/>
    <row r="77" s="3" customFormat="1" ht="13.8" x14ac:dyDescent="0.25"/>
    <row r="78" s="3" customFormat="1" ht="13.8" x14ac:dyDescent="0.25"/>
    <row r="79" s="3" customFormat="1" ht="13.8" x14ac:dyDescent="0.25"/>
    <row r="80" s="3" customFormat="1" ht="13.8" x14ac:dyDescent="0.25"/>
    <row r="81" s="3" customFormat="1" ht="13.8" x14ac:dyDescent="0.25"/>
    <row r="82" s="3" customFormat="1" ht="13.8" x14ac:dyDescent="0.25"/>
    <row r="83" s="3" customFormat="1" ht="16.5" customHeight="1" x14ac:dyDescent="0.25"/>
    <row r="84" s="3" customFormat="1" ht="13.8" x14ac:dyDescent="0.25"/>
    <row r="85" s="3" customFormat="1" ht="13.8" x14ac:dyDescent="0.25"/>
    <row r="86" s="3" customFormat="1" ht="13.8" x14ac:dyDescent="0.25"/>
    <row r="87" s="3" customFormat="1" ht="13.8" x14ac:dyDescent="0.25"/>
    <row r="88" s="3" customFormat="1" ht="13.8" x14ac:dyDescent="0.25"/>
    <row r="89" s="3" customFormat="1" ht="15.75" customHeight="1" x14ac:dyDescent="0.25"/>
    <row r="90" s="3" customFormat="1" ht="13.8" x14ac:dyDescent="0.25"/>
    <row r="91" s="3" customFormat="1" ht="13.8" x14ac:dyDescent="0.25"/>
    <row r="92" s="3" customFormat="1" ht="13.8" x14ac:dyDescent="0.25"/>
    <row r="93" s="3" customFormat="1" ht="13.8" x14ac:dyDescent="0.25"/>
    <row r="94" s="3" customFormat="1" ht="13.8" x14ac:dyDescent="0.25"/>
    <row r="95" s="3" customFormat="1" ht="13.8" x14ac:dyDescent="0.25"/>
  </sheetData>
  <mergeCells count="26">
    <mergeCell ref="A31:K31"/>
    <mergeCell ref="G34:I34"/>
    <mergeCell ref="G40:K40"/>
    <mergeCell ref="G36:I36"/>
    <mergeCell ref="G35:I35"/>
    <mergeCell ref="G48:K48"/>
    <mergeCell ref="G47:K47"/>
    <mergeCell ref="G42:K42"/>
    <mergeCell ref="G41:K41"/>
    <mergeCell ref="A1:K1"/>
    <mergeCell ref="B7:I7"/>
    <mergeCell ref="B20:C20"/>
    <mergeCell ref="I22:K22"/>
    <mergeCell ref="A14:I14"/>
    <mergeCell ref="B9:C9"/>
    <mergeCell ref="C15:K15"/>
    <mergeCell ref="A15:B15"/>
    <mergeCell ref="B22:F22"/>
    <mergeCell ref="B12:C12"/>
    <mergeCell ref="B23:F23"/>
    <mergeCell ref="B25:F25"/>
    <mergeCell ref="I28:K28"/>
    <mergeCell ref="B27:F27"/>
    <mergeCell ref="B28:F28"/>
    <mergeCell ref="I27:K27"/>
    <mergeCell ref="B26:F26"/>
  </mergeCells>
  <printOptions horizontalCentered="1"/>
  <pageMargins left="0.51181102362204722" right="0.51181102362204722" top="0.51181102362204722" bottom="0.98425196850393704" header="0" footer="0"/>
  <pageSetup paperSize="14" scale="88" fitToWidth="0" fitToHeight="0" orientation="portrait" r:id="rId1"/>
  <rowBreaks count="1" manualBreakCount="1">
    <brk id="4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A60A-A783-4860-B97D-5882C0F807EB}">
  <dimension ref="A1:H92"/>
  <sheetViews>
    <sheetView view="pageBreakPreview" zoomScaleNormal="145" zoomScaleSheetLayoutView="100" workbookViewId="0">
      <selection activeCell="C17" sqref="C17"/>
    </sheetView>
  </sheetViews>
  <sheetFormatPr defaultRowHeight="15.6" x14ac:dyDescent="0.3"/>
  <cols>
    <col min="1" max="1" width="32.44140625" style="1" customWidth="1"/>
    <col min="2" max="2" width="2.5546875" style="1" customWidth="1"/>
    <col min="3" max="3" width="4.109375" style="19" customWidth="1"/>
    <col min="4" max="4" width="12.109375" style="19" customWidth="1"/>
    <col min="5" max="5" width="4" style="1" customWidth="1"/>
    <col min="6" max="6" width="17.44140625" style="30" customWidth="1"/>
    <col min="7" max="7" width="1.5546875" style="1" customWidth="1"/>
    <col min="8" max="8" width="20.44140625" style="1" customWidth="1"/>
  </cols>
  <sheetData>
    <row r="1" spans="1:8" x14ac:dyDescent="0.3">
      <c r="A1" s="1" t="s">
        <v>78</v>
      </c>
      <c r="B1" s="30" t="s">
        <v>8</v>
      </c>
      <c r="C1" s="19" t="s">
        <v>79</v>
      </c>
    </row>
    <row r="3" spans="1:8" x14ac:dyDescent="0.3">
      <c r="B3" s="1" t="s">
        <v>6</v>
      </c>
      <c r="E3" s="30" t="s">
        <v>8</v>
      </c>
      <c r="F3" s="1"/>
      <c r="G3" s="30"/>
    </row>
    <row r="4" spans="1:8" x14ac:dyDescent="0.3">
      <c r="B4" s="1" t="s">
        <v>7</v>
      </c>
      <c r="E4" s="30" t="s">
        <v>8</v>
      </c>
      <c r="F4" s="52" t="str">
        <f>SPPD!G44</f>
        <v>4053.PDI.002.054.B.524111</v>
      </c>
      <c r="G4" s="30"/>
      <c r="H4" s="41"/>
    </row>
    <row r="5" spans="1:8" x14ac:dyDescent="0.3">
      <c r="B5" s="1" t="s">
        <v>9</v>
      </c>
      <c r="E5" s="30" t="s">
        <v>8</v>
      </c>
      <c r="F5" s="38">
        <v>2025</v>
      </c>
      <c r="G5" s="30"/>
      <c r="H5" s="38"/>
    </row>
    <row r="6" spans="1:8" x14ac:dyDescent="0.3">
      <c r="F6" s="1"/>
      <c r="G6" s="30"/>
      <c r="H6" s="38"/>
    </row>
    <row r="7" spans="1:8" ht="21" x14ac:dyDescent="0.4">
      <c r="A7" s="80" t="s">
        <v>55</v>
      </c>
      <c r="B7" s="80"/>
      <c r="C7" s="80"/>
      <c r="D7" s="80"/>
      <c r="E7" s="80"/>
      <c r="F7" s="80"/>
      <c r="G7" s="80"/>
      <c r="H7" s="80"/>
    </row>
    <row r="8" spans="1:8" x14ac:dyDescent="0.3">
      <c r="F8" s="1"/>
      <c r="G8" s="30"/>
      <c r="H8" s="38"/>
    </row>
    <row r="9" spans="1:8" ht="16.2" thickBot="1" x14ac:dyDescent="0.35">
      <c r="A9" s="2"/>
      <c r="B9" s="2"/>
      <c r="C9" s="20"/>
      <c r="D9" s="20"/>
      <c r="E9" s="2"/>
      <c r="F9" s="2"/>
      <c r="G9" s="21"/>
      <c r="H9" s="22"/>
    </row>
    <row r="11" spans="1:8" x14ac:dyDescent="0.3">
      <c r="A11" s="1" t="s">
        <v>0</v>
      </c>
      <c r="B11" s="30" t="s">
        <v>8</v>
      </c>
      <c r="C11" s="19" t="s">
        <v>90</v>
      </c>
    </row>
    <row r="12" spans="1:8" x14ac:dyDescent="0.3">
      <c r="B12" s="30"/>
    </row>
    <row r="13" spans="1:8" x14ac:dyDescent="0.3">
      <c r="A13" s="1" t="s">
        <v>1</v>
      </c>
      <c r="B13" s="30" t="s">
        <v>8</v>
      </c>
      <c r="C13" s="121">
        <f>Lumpsum!J14</f>
        <v>5251051</v>
      </c>
      <c r="D13" s="121"/>
    </row>
    <row r="14" spans="1:8" x14ac:dyDescent="0.3">
      <c r="B14" s="30"/>
      <c r="D14" s="32"/>
    </row>
    <row r="15" spans="1:8" ht="15.75" customHeight="1" x14ac:dyDescent="0.3">
      <c r="A15" s="1" t="s">
        <v>2</v>
      </c>
      <c r="B15" s="30" t="s">
        <v>8</v>
      </c>
      <c r="C15" s="122" t="e">
        <f ca="1">Lumpsum!C15</f>
        <v>#NAME?</v>
      </c>
      <c r="D15" s="122"/>
      <c r="E15" s="122"/>
      <c r="F15" s="122"/>
      <c r="G15" s="122"/>
      <c r="H15" s="122"/>
    </row>
    <row r="16" spans="1:8" ht="15.75" customHeight="1" x14ac:dyDescent="0.3">
      <c r="B16" s="30"/>
      <c r="C16" s="122"/>
      <c r="D16" s="122"/>
      <c r="E16" s="122"/>
      <c r="F16" s="122"/>
      <c r="G16" s="122"/>
      <c r="H16" s="122"/>
    </row>
    <row r="17" spans="1:8" x14ac:dyDescent="0.3">
      <c r="B17" s="30"/>
    </row>
    <row r="18" spans="1:8" x14ac:dyDescent="0.3">
      <c r="A18" s="1" t="s">
        <v>3</v>
      </c>
      <c r="B18" s="30" t="s">
        <v>8</v>
      </c>
      <c r="C18" s="101" t="str">
        <f>SPPD!F20</f>
        <v>Melaksanakan Koordinasi Pelatihan Project Based Learning (PBL), pada hari Senin s.d. Rabu, 10 November s.d. 12 November 2025 di UPTP BPVP Surakarta, Jl. Bhayangkara, No. 38, Panularan, Kec. Laweyan, Kota Surakarta, Jawa Tengah.</v>
      </c>
      <c r="D18" s="101"/>
      <c r="E18" s="101"/>
      <c r="F18" s="101"/>
      <c r="G18" s="101"/>
      <c r="H18" s="101"/>
    </row>
    <row r="19" spans="1:8" ht="21.9" customHeight="1" x14ac:dyDescent="0.3">
      <c r="B19" s="30"/>
      <c r="C19" s="101"/>
      <c r="D19" s="101"/>
      <c r="E19" s="101"/>
      <c r="F19" s="101"/>
      <c r="G19" s="101"/>
      <c r="H19" s="101"/>
    </row>
    <row r="20" spans="1:8" ht="52.5" customHeight="1" x14ac:dyDescent="0.3">
      <c r="B20" s="30"/>
      <c r="C20" s="101"/>
      <c r="D20" s="101"/>
      <c r="E20" s="101"/>
      <c r="F20" s="101"/>
      <c r="G20" s="101"/>
      <c r="H20" s="101"/>
    </row>
    <row r="21" spans="1:8" x14ac:dyDescent="0.3">
      <c r="B21" s="30"/>
      <c r="C21" s="37"/>
      <c r="D21" s="37"/>
      <c r="E21" s="9"/>
      <c r="F21" s="9"/>
      <c r="G21" s="9"/>
      <c r="H21" s="9"/>
    </row>
    <row r="22" spans="1:8" x14ac:dyDescent="0.3">
      <c r="A22" s="1" t="s">
        <v>54</v>
      </c>
      <c r="B22" s="30" t="s">
        <v>8</v>
      </c>
      <c r="C22" s="53" t="str">
        <f>SPPD!J3</f>
        <v>2.23/157/LP.00.04/XI/2025</v>
      </c>
    </row>
    <row r="23" spans="1:8" x14ac:dyDescent="0.3">
      <c r="B23" s="30"/>
    </row>
    <row r="24" spans="1:8" x14ac:dyDescent="0.3">
      <c r="A24" s="1" t="s">
        <v>4</v>
      </c>
      <c r="B24" s="30" t="s">
        <v>8</v>
      </c>
      <c r="C24" s="33" t="str">
        <f>SPPD!J52</f>
        <v>07 - 11 - 2025</v>
      </c>
    </row>
    <row r="25" spans="1:8" x14ac:dyDescent="0.3">
      <c r="B25" s="30"/>
      <c r="C25" s="33"/>
    </row>
    <row r="26" spans="1:8" x14ac:dyDescent="0.3">
      <c r="A26" s="1" t="s">
        <v>5</v>
      </c>
      <c r="B26" s="30" t="s">
        <v>8</v>
      </c>
      <c r="C26" s="19" t="str">
        <f>SPPD!G27</f>
        <v>Pangkep</v>
      </c>
      <c r="E26" s="1" t="s">
        <v>10</v>
      </c>
      <c r="F26" s="1" t="str">
        <f>SPPD!G28</f>
        <v>Surakarta PP</v>
      </c>
      <c r="H26" s="3"/>
    </row>
    <row r="27" spans="1:8" x14ac:dyDescent="0.3">
      <c r="B27" s="30"/>
    </row>
    <row r="30" spans="1:8" x14ac:dyDescent="0.3">
      <c r="F30" s="78" t="s">
        <v>11</v>
      </c>
      <c r="G30" s="78"/>
      <c r="H30" s="78"/>
    </row>
    <row r="32" spans="1:8" x14ac:dyDescent="0.3">
      <c r="G32" s="7"/>
    </row>
    <row r="33" spans="1:8" x14ac:dyDescent="0.3">
      <c r="G33" s="7"/>
    </row>
    <row r="34" spans="1:8" x14ac:dyDescent="0.3">
      <c r="F34" s="78" t="str">
        <f>SPPD!F11</f>
        <v>Eka Elvira, S.S.</v>
      </c>
      <c r="G34" s="78"/>
      <c r="H34" s="78"/>
    </row>
    <row r="35" spans="1:8" x14ac:dyDescent="0.3">
      <c r="F35" s="78" t="str">
        <f>SPPD!F12</f>
        <v>NIP. 19880831 202012 2 011</v>
      </c>
      <c r="G35" s="78"/>
      <c r="H35" s="78"/>
    </row>
    <row r="36" spans="1:8" ht="16.2" thickBot="1" x14ac:dyDescent="0.35"/>
    <row r="37" spans="1:8" x14ac:dyDescent="0.3">
      <c r="A37" s="23"/>
      <c r="B37" s="23"/>
      <c r="C37" s="34"/>
      <c r="D37" s="34"/>
      <c r="E37" s="23"/>
      <c r="F37" s="35"/>
      <c r="G37" s="23"/>
      <c r="H37" s="23"/>
    </row>
    <row r="39" spans="1:8" x14ac:dyDescent="0.3">
      <c r="A39" s="78" t="s">
        <v>56</v>
      </c>
      <c r="B39" s="78"/>
      <c r="F39" s="1" t="s">
        <v>85</v>
      </c>
    </row>
    <row r="40" spans="1:8" x14ac:dyDescent="0.3">
      <c r="A40" s="78" t="s">
        <v>59</v>
      </c>
      <c r="B40" s="78"/>
      <c r="F40" s="78" t="s">
        <v>51</v>
      </c>
      <c r="G40" s="78"/>
      <c r="H40" s="78"/>
    </row>
    <row r="41" spans="1:8" x14ac:dyDescent="0.3">
      <c r="A41" s="78" t="s">
        <v>58</v>
      </c>
      <c r="B41" s="78"/>
      <c r="F41" s="1"/>
    </row>
    <row r="42" spans="1:8" x14ac:dyDescent="0.3">
      <c r="A42" s="30"/>
      <c r="B42" s="30"/>
      <c r="F42" s="1"/>
    </row>
    <row r="43" spans="1:8" x14ac:dyDescent="0.3">
      <c r="A43" s="30"/>
      <c r="B43" s="30"/>
      <c r="F43" s="1"/>
    </row>
    <row r="44" spans="1:8" x14ac:dyDescent="0.3">
      <c r="F44" s="78"/>
      <c r="G44" s="78"/>
      <c r="H44" s="78"/>
    </row>
    <row r="45" spans="1:8" x14ac:dyDescent="0.3">
      <c r="A45" s="78" t="str">
        <f>SPPD!H58</f>
        <v>Kaharuddin, S.Pd.</v>
      </c>
      <c r="B45" s="78"/>
      <c r="F45" s="78" t="str">
        <f>Lumpsum!B27</f>
        <v>Ni'matul Chasanah, A.Md.</v>
      </c>
      <c r="G45" s="78"/>
      <c r="H45" s="78"/>
    </row>
    <row r="46" spans="1:8" x14ac:dyDescent="0.3">
      <c r="A46" s="78" t="str">
        <f>SPPD!H59</f>
        <v xml:space="preserve">      NIP. 19920524 202012 1 014</v>
      </c>
      <c r="B46" s="78"/>
      <c r="D46" s="1" t="s">
        <v>75</v>
      </c>
      <c r="F46" s="78" t="str">
        <f>Lumpsum!B28</f>
        <v>NIP. 19870522 202012 2 013</v>
      </c>
      <c r="G46" s="78"/>
      <c r="H46" s="78"/>
    </row>
    <row r="47" spans="1:8" ht="14.4" x14ac:dyDescent="0.3">
      <c r="A47"/>
      <c r="B47"/>
      <c r="C47"/>
      <c r="D47"/>
      <c r="E47"/>
      <c r="F47"/>
      <c r="G47"/>
      <c r="H47"/>
    </row>
    <row r="48" spans="1:8" ht="14.4" x14ac:dyDescent="0.3">
      <c r="A48"/>
      <c r="B48"/>
      <c r="C48"/>
      <c r="D48"/>
      <c r="E48"/>
      <c r="F48"/>
      <c r="G48"/>
      <c r="H48"/>
    </row>
    <row r="49" customFormat="1" ht="14.4" x14ac:dyDescent="0.3"/>
    <row r="50" customFormat="1" ht="14.4" x14ac:dyDescent="0.3"/>
    <row r="51" customFormat="1" ht="14.4" x14ac:dyDescent="0.3"/>
    <row r="52" customFormat="1" ht="14.4" x14ac:dyDescent="0.3"/>
    <row r="53" customFormat="1" ht="14.4" x14ac:dyDescent="0.3"/>
    <row r="54" customFormat="1" ht="14.4" x14ac:dyDescent="0.3"/>
    <row r="55" customFormat="1" ht="14.4" x14ac:dyDescent="0.3"/>
    <row r="56" customFormat="1" ht="14.4" x14ac:dyDescent="0.3"/>
    <row r="57" customFormat="1" ht="14.4" x14ac:dyDescent="0.3"/>
    <row r="58" customFormat="1" ht="14.4" x14ac:dyDescent="0.3"/>
    <row r="59" customFormat="1" ht="14.4" x14ac:dyDescent="0.3"/>
    <row r="60" customFormat="1" ht="14.4" x14ac:dyDescent="0.3"/>
    <row r="61" customFormat="1" ht="15.75" customHeight="1" x14ac:dyDescent="0.3"/>
    <row r="62" customFormat="1" ht="15.75" customHeight="1" x14ac:dyDescent="0.3"/>
    <row r="63" customFormat="1" ht="14.4" x14ac:dyDescent="0.3"/>
    <row r="64" customFormat="1" ht="14.4" x14ac:dyDescent="0.3"/>
    <row r="65" customFormat="1" ht="29.4" customHeight="1" x14ac:dyDescent="0.3"/>
    <row r="66" customFormat="1" ht="42.75" customHeight="1"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sheetData>
  <mergeCells count="16">
    <mergeCell ref="F46:H46"/>
    <mergeCell ref="A45:B45"/>
    <mergeCell ref="F44:H44"/>
    <mergeCell ref="A46:B46"/>
    <mergeCell ref="F45:H45"/>
    <mergeCell ref="A41:B41"/>
    <mergeCell ref="F35:H35"/>
    <mergeCell ref="A39:B39"/>
    <mergeCell ref="C15:H16"/>
    <mergeCell ref="A40:B40"/>
    <mergeCell ref="F40:H40"/>
    <mergeCell ref="A7:H7"/>
    <mergeCell ref="C13:D13"/>
    <mergeCell ref="C18:H20"/>
    <mergeCell ref="F30:H30"/>
    <mergeCell ref="F34:H34"/>
  </mergeCells>
  <printOptions horizontalCentered="1"/>
  <pageMargins left="0.5" right="0.5" top="0.5" bottom="1" header="0" footer="0"/>
  <pageSetup paperSize="5" scale="95"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SPPD</vt:lpstr>
      <vt:lpstr>Lumpsum</vt:lpstr>
      <vt:lpstr>Kuitansi</vt:lpstr>
      <vt:lpstr>SPPD!Print_Area</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WENGGA</dc:creator>
  <cp:lastModifiedBy>juhari</cp:lastModifiedBy>
  <cp:lastPrinted>2025-12-06T05:09:14Z</cp:lastPrinted>
  <dcterms:created xsi:type="dcterms:W3CDTF">2010-07-05T02:41:30Z</dcterms:created>
  <dcterms:modified xsi:type="dcterms:W3CDTF">2026-08-18T03:41:02Z</dcterms:modified>
</cp:coreProperties>
</file>